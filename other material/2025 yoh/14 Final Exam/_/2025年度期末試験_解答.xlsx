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reitakuuacjp-my.sharepoint.com/personal/dsunaga_reitaku-u_ac_jp/Documents/麗澤/教務/2025/統計学/期末試験/"/>
    </mc:Choice>
  </mc:AlternateContent>
  <xr:revisionPtr revIDLastSave="33" documentId="13_ncr:1_{64129F7F-EBFD-4042-A2DC-D2C269DD0646}" xr6:coauthVersionLast="47" xr6:coauthVersionMax="47" xr10:uidLastSave="{733E6701-B2BC-477C-B937-F58248D01D1D}"/>
  <bookViews>
    <workbookView xWindow="19200" yWindow="1130" windowWidth="18400" windowHeight="19160" activeTab="7" xr2:uid="{469BD4B2-16A6-4364-A600-F1759FA31C7D}"/>
  </bookViews>
  <sheets>
    <sheet name="Q1" sheetId="2" r:id="rId1"/>
    <sheet name="Q2" sheetId="4" r:id="rId2"/>
    <sheet name="Q3" sheetId="5" r:id="rId3"/>
    <sheet name="Q4(1)-(2)" sheetId="6" r:id="rId4"/>
    <sheet name="Q4(3)-(5)" sheetId="7" r:id="rId5"/>
    <sheet name="Q5" sheetId="8" r:id="rId6"/>
    <sheet name="Q5_est" sheetId="9" r:id="rId7"/>
    <sheet name="Q6"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0" l="1"/>
  <c r="I11" i="10" s="1"/>
  <c r="G9" i="10"/>
  <c r="G13" i="10" s="1"/>
  <c r="G7" i="10"/>
  <c r="B7" i="9"/>
  <c r="B8" i="9" s="1"/>
  <c r="B9" i="9" s="1"/>
  <c r="B10" i="9" s="1"/>
  <c r="B11" i="9" s="1"/>
  <c r="B12" i="9" s="1"/>
  <c r="B13" i="9" s="1"/>
  <c r="B14" i="9" s="1"/>
  <c r="B15" i="9" s="1"/>
  <c r="B16" i="9" s="1"/>
  <c r="B17" i="9" s="1"/>
  <c r="B18" i="9" s="1"/>
  <c r="B19" i="9" s="1"/>
  <c r="B20" i="9" s="1"/>
  <c r="B21" i="9" s="1"/>
  <c r="B22" i="9" s="1"/>
  <c r="B23" i="9" s="1"/>
  <c r="B24" i="9" s="1"/>
  <c r="B25" i="9" s="1"/>
  <c r="B26" i="9" s="1"/>
  <c r="B27" i="9" s="1"/>
  <c r="B28" i="9" s="1"/>
  <c r="I7" i="7"/>
  <c r="F16" i="7"/>
  <c r="F15" i="7"/>
  <c r="E14" i="7"/>
  <c r="I10" i="7" s="1"/>
  <c r="E13" i="7"/>
  <c r="D9" i="7"/>
  <c r="D10" i="7" s="1"/>
  <c r="D11" i="7" s="1"/>
  <c r="D12" i="7" s="1"/>
  <c r="H8" i="6"/>
  <c r="F7" i="6"/>
  <c r="E8" i="6" s="1"/>
  <c r="G18" i="5"/>
  <c r="F18" i="5"/>
  <c r="F10" i="5"/>
  <c r="G10" i="5"/>
  <c r="G14" i="5"/>
  <c r="F14" i="5"/>
  <c r="F7" i="5"/>
  <c r="F4" i="5"/>
  <c r="E20" i="5"/>
  <c r="E8" i="5"/>
  <c r="E5" i="5"/>
  <c r="C7" i="4"/>
  <c r="G14" i="10" l="1"/>
  <c r="G15" i="10" s="1"/>
  <c r="I9" i="7"/>
  <c r="H10" i="7"/>
  <c r="H9" i="7"/>
  <c r="F9" i="7"/>
  <c r="F11" i="7"/>
  <c r="F8" i="7"/>
  <c r="F12" i="7"/>
  <c r="F10" i="7"/>
  <c r="F8" i="6"/>
  <c r="F13" i="7" l="1"/>
  <c r="G16" i="7" s="1"/>
  <c r="G15" i="7" l="1"/>
  <c r="F7" i="4" l="1"/>
  <c r="G9" i="2"/>
  <c r="H10" i="2"/>
  <c r="G14" i="2"/>
  <c r="G13" i="2"/>
  <c r="I12" i="2"/>
  <c r="G12" i="2"/>
  <c r="I11" i="2"/>
  <c r="H11" i="2"/>
  <c r="G11" i="2"/>
  <c r="I10" i="2"/>
  <c r="G10" i="2"/>
  <c r="L9" i="2"/>
  <c r="K9" i="2"/>
  <c r="I14" i="2" l="1"/>
  <c r="H12" i="2"/>
  <c r="J12" i="2" s="1"/>
  <c r="H13" i="2"/>
  <c r="J13" i="2" s="1"/>
  <c r="I13" i="2"/>
  <c r="H9" i="2"/>
  <c r="I9" i="2"/>
  <c r="H14" i="2"/>
  <c r="E7" i="4"/>
  <c r="J9" i="2"/>
  <c r="J11" i="2"/>
  <c r="J10" i="2"/>
  <c r="J14" i="2" l="1"/>
  <c r="J16" i="2" s="1"/>
  <c r="H11" i="4"/>
  <c r="H12" i="4"/>
  <c r="H9" i="4"/>
  <c r="H8" i="4"/>
  <c r="H7" i="4"/>
  <c r="H10" i="4"/>
  <c r="J17" i="2"/>
  <c r="J15" i="2" l="1"/>
</calcChain>
</file>

<file path=xl/sharedStrings.xml><?xml version="1.0" encoding="utf-8"?>
<sst xmlns="http://schemas.openxmlformats.org/spreadsheetml/2006/main" count="244" uniqueCount="141">
  <si>
    <t>Q1</t>
    <phoneticPr fontId="2"/>
  </si>
  <si>
    <t>π</t>
    <phoneticPr fontId="2"/>
  </si>
  <si>
    <t>n</t>
    <phoneticPr fontId="2"/>
  </si>
  <si>
    <t>x</t>
    <phoneticPr fontId="2"/>
  </si>
  <si>
    <t>nCx</t>
    <phoneticPr fontId="2"/>
  </si>
  <si>
    <r>
      <t>π</t>
    </r>
    <r>
      <rPr>
        <vertAlign val="superscript"/>
        <sz val="11"/>
        <color theme="1"/>
        <rFont val="游ゴシック"/>
        <family val="3"/>
        <charset val="128"/>
        <scheme val="minor"/>
      </rPr>
      <t>x</t>
    </r>
    <phoneticPr fontId="2"/>
  </si>
  <si>
    <r>
      <t>(1-π)</t>
    </r>
    <r>
      <rPr>
        <vertAlign val="superscript"/>
        <sz val="11"/>
        <color theme="1"/>
        <rFont val="游ゴシック"/>
        <family val="3"/>
        <charset val="128"/>
        <scheme val="minor"/>
      </rPr>
      <t>n-x</t>
    </r>
    <phoneticPr fontId="2"/>
  </si>
  <si>
    <t>Pr(x)</t>
    <phoneticPr fontId="2"/>
  </si>
  <si>
    <t>E(x)</t>
    <phoneticPr fontId="2"/>
  </si>
  <si>
    <t>V(x)</t>
    <phoneticPr fontId="2"/>
  </si>
  <si>
    <t>total</t>
    <phoneticPr fontId="2"/>
  </si>
  <si>
    <t>Q2</t>
    <phoneticPr fontId="2"/>
  </si>
  <si>
    <t>Q3</t>
    <phoneticPr fontId="2"/>
  </si>
  <si>
    <t>平均</t>
    <rPh sb="0" eb="2">
      <t>ヘイキン</t>
    </rPh>
    <phoneticPr fontId="2"/>
  </si>
  <si>
    <t>SD</t>
    <phoneticPr fontId="2"/>
  </si>
  <si>
    <t>z</t>
    <phoneticPr fontId="2"/>
  </si>
  <si>
    <t>5%点</t>
    <rPh sb="2" eb="3">
      <t>テン</t>
    </rPh>
    <phoneticPr fontId="2"/>
  </si>
  <si>
    <t>上位5%</t>
    <rPh sb="0" eb="2">
      <t>ジョウイ</t>
    </rPh>
    <phoneticPr fontId="2"/>
  </si>
  <si>
    <t>Q4</t>
    <phoneticPr fontId="2"/>
  </si>
  <si>
    <t>id</t>
    <phoneticPr fontId="2"/>
  </si>
  <si>
    <t>ave</t>
    <phoneticPr fontId="2"/>
  </si>
  <si>
    <r>
      <t>(x-ave)</t>
    </r>
    <r>
      <rPr>
        <vertAlign val="superscript"/>
        <sz val="11"/>
        <color theme="1"/>
        <rFont val="游ゴシック"/>
        <family val="3"/>
        <charset val="128"/>
        <scheme val="minor"/>
      </rPr>
      <t>2</t>
    </r>
    <phoneticPr fontId="2"/>
  </si>
  <si>
    <t>標本分散</t>
    <rPh sb="0" eb="4">
      <t>ヒョウホンブンサン</t>
    </rPh>
    <phoneticPr fontId="2"/>
  </si>
  <si>
    <t>標本不偏分散</t>
    <rPh sb="0" eb="6">
      <t>ヒョウホンフヘンブンサン</t>
    </rPh>
    <phoneticPr fontId="2"/>
  </si>
  <si>
    <t>下限値</t>
    <rPh sb="0" eb="3">
      <t>カゲンチ</t>
    </rPh>
    <phoneticPr fontId="2"/>
  </si>
  <si>
    <t>上限値</t>
    <rPh sb="0" eb="3">
      <t>ジョウゲンチ</t>
    </rPh>
    <phoneticPr fontId="2"/>
  </si>
  <si>
    <t>Pr(x&gt;=3)</t>
    <phoneticPr fontId="2"/>
  </si>
  <si>
    <t>（１）不良品の数の期待値と分散を求めなさい．</t>
    <phoneticPr fontId="2"/>
  </si>
  <si>
    <t>（２）不良品が1個も含まれない確率を求めなさい．</t>
    <phoneticPr fontId="2"/>
  </si>
  <si>
    <t>ある生産ラインでは，20000個に1個の割合で不良品が混入することがわかっている．これから出荷する製品30000個のうち，不良品の数をxとすると，その確率分布はポアソン分布で近似できるものとする．</t>
    <phoneticPr fontId="2"/>
  </si>
  <si>
    <t>以下の問いに答えなさい．</t>
    <phoneticPr fontId="2"/>
  </si>
  <si>
    <t>（１）あるクジには，A賞3本，B賞5本，C賞2本が入っている．このクジを1回だけ引くとき，A賞またはB賞が当たる確率はいくつか．</t>
    <phoneticPr fontId="2"/>
  </si>
  <si>
    <t>（２）サイコロを1回投げて，出た目をxとする．事象Aを「xは偶数である」，事象Bを「xは3の倍数である」としたとき，事象AまたはBが起こる確率Pr(A∪B)はいくつか．なお，サイコロのそれぞれの目が出る確率は等しいものとする．</t>
    <phoneticPr fontId="2"/>
  </si>
  <si>
    <t>（３）あるコインを1回投げたとき，表が出る確率は0.4とする．このコインを2回投げて，2回とも表が出る確率はいくつか．なお，1回目の結果は，2回目の結果に影響を与えないものとする．</t>
    <phoneticPr fontId="2"/>
  </si>
  <si>
    <t>（４）トランプ52枚（ジョーカーを除いた13枚×4スート）から1枚引き，引いたカードを戻さずにもう1枚引く．引いた2枚のトランプのうち，少なくとも1枚がハートである確率はいくつか．</t>
    <phoneticPr fontId="2"/>
  </si>
  <si>
    <t>（５）あるクラスでは，学生40人のうち，男子が25人，女子が15人である．また，統計学が得意な学生は20人おり，そのうちの12人が男子である．ランダムに学生を1人選ぶとき，その学生が「統計学が得意である」という条件のもとで，「男子である」確率はいくつか．</t>
    <phoneticPr fontId="2"/>
  </si>
  <si>
    <t>少なくとも1枚はハート：1 - (114/204) = 90/204 = 15/34</t>
    <rPh sb="0" eb="1">
      <t>スク</t>
    </rPh>
    <rPh sb="6" eb="7">
      <t>マイ</t>
    </rPh>
    <phoneticPr fontId="2"/>
  </si>
  <si>
    <t>2枚ともハート以外：(39/52)×(38/51) = 114/204</t>
    <phoneticPr fontId="2"/>
  </si>
  <si>
    <t>0.4 × 0.4 = 0.16 （独立の場合）</t>
    <phoneticPr fontId="2"/>
  </si>
  <si>
    <t>または，nCx π^x (1-π)^(n-x) = 2C2 (0.4)^2 (0.6)^0 = 0.16</t>
    <phoneticPr fontId="2"/>
  </si>
  <si>
    <t>A: 統計学が得意である，B: 男子である</t>
    <rPh sb="3" eb="6">
      <t>トウケイガク</t>
    </rPh>
    <rPh sb="7" eb="9">
      <t>トクイ</t>
    </rPh>
    <rPh sb="16" eb="18">
      <t>ダンシ</t>
    </rPh>
    <phoneticPr fontId="2"/>
  </si>
  <si>
    <t>【単純確率】</t>
    <rPh sb="1" eb="5">
      <t>タンジュンカクリツ</t>
    </rPh>
    <phoneticPr fontId="2"/>
  </si>
  <si>
    <t>【和事象の確率】</t>
    <rPh sb="1" eb="4">
      <t>ワジショウ</t>
    </rPh>
    <rPh sb="5" eb="7">
      <t>カクリツ</t>
    </rPh>
    <phoneticPr fontId="2"/>
  </si>
  <si>
    <t>【積事象の確率】</t>
    <rPh sb="1" eb="4">
      <t>セキジショウ</t>
    </rPh>
    <rPh sb="5" eb="7">
      <t>カクリツ</t>
    </rPh>
    <phoneticPr fontId="2"/>
  </si>
  <si>
    <t>【同時確率】</t>
    <rPh sb="1" eb="5">
      <t>ドウジカクリツ</t>
    </rPh>
    <phoneticPr fontId="2"/>
  </si>
  <si>
    <t>【条件付き確率】</t>
    <rPh sb="1" eb="4">
      <t>ジョウケンツ</t>
    </rPh>
    <rPh sb="5" eb="7">
      <t>カクリツ</t>
    </rPh>
    <phoneticPr fontId="2"/>
  </si>
  <si>
    <t>点以上</t>
    <rPh sb="0" eb="1">
      <t>テン</t>
    </rPh>
    <rPh sb="1" eb="3">
      <t>イジョウ</t>
    </rPh>
    <phoneticPr fontId="2"/>
  </si>
  <si>
    <t>あるクラスAの全員の統計学の試験得点を調べたところ，クラスの平均点は65点，標準偏差は12点であった．このクラスに所属する学生の得点は，正規分布N(65, 12^2)にしたがう確率変数xであるとする．ただし，得点はすべて整数値とする．</t>
    <phoneticPr fontId="2"/>
  </si>
  <si>
    <t>（１）得点が80点以上の学生は何パーセントか．</t>
    <phoneticPr fontId="2"/>
  </si>
  <si>
    <t>（２）得点が上位5%の学生をS評価とするとき，対象となるのは得点が何点以上の学生か．ただし，上側確率5%のz値は1.65とする．</t>
    <phoneticPr fontId="2"/>
  </si>
  <si>
    <t>（３）別のクラスBの統計学の試験の受験者から抽出した5人分の試験得点xiは，以下の表のとおりである．標本平均x_barと標本分散S^2を求めなさい．</t>
    <phoneticPr fontId="2"/>
  </si>
  <si>
    <t>（４）標本不偏分散を求めなさい．</t>
    <phoneticPr fontId="2"/>
  </si>
  <si>
    <t>（５）標本平均は正規分布に従い，標本分散の値は母分散と一致するかわからないとき，母平均μの95%信頼区間の下限値と上限値を求めなさい．</t>
    <phoneticPr fontId="2"/>
  </si>
  <si>
    <t>t分布5%点</t>
    <rPh sb="1" eb="3">
      <t>ブンプ</t>
    </rPh>
    <rPh sb="5" eb="6">
      <t>テン</t>
    </rPh>
    <phoneticPr fontId="2"/>
  </si>
  <si>
    <t>(配布の統計表の値)</t>
    <rPh sb="1" eb="3">
      <t>ハイフ</t>
    </rPh>
    <rPh sb="4" eb="7">
      <t>トウケイヒョウ</t>
    </rPh>
    <rPh sb="8" eb="9">
      <t>アタイ</t>
    </rPh>
    <phoneticPr fontId="2"/>
  </si>
  <si>
    <t>（１）目的変数と説明変数はそれぞれ何か．</t>
    <phoneticPr fontId="2"/>
  </si>
  <si>
    <t>（２）自由度修正済み決定係数はいくつか．</t>
    <phoneticPr fontId="2"/>
  </si>
  <si>
    <t>（３）定数項（切片a）と回帰係数（傾きb）はそれぞれいくつか．</t>
    <phoneticPr fontId="2"/>
  </si>
  <si>
    <t>（５）この推定結果からわかることとして，以下のうち正しいものはどれか．</t>
    <phoneticPr fontId="2"/>
  </si>
  <si>
    <t>③説明変数が1単位増加しても，目的変数には何の影響もない．</t>
    <phoneticPr fontId="2"/>
  </si>
  <si>
    <t>④説明変数が1単位増加しても，目的変数に影響があるかどうかわからない．</t>
    <phoneticPr fontId="2"/>
  </si>
  <si>
    <t>中央線高円寺駅近くの中古マンションの販売実績（2012年下半期）</t>
    <rPh sb="0" eb="3">
      <t>チュウオウセン</t>
    </rPh>
    <rPh sb="3" eb="6">
      <t>コウエンジ</t>
    </rPh>
    <rPh sb="6" eb="7">
      <t>エキ</t>
    </rPh>
    <rPh sb="7" eb="8">
      <t>チカ</t>
    </rPh>
    <rPh sb="10" eb="12">
      <t>チュウコ</t>
    </rPh>
    <rPh sb="18" eb="20">
      <t>ハンバイ</t>
    </rPh>
    <rPh sb="20" eb="22">
      <t>ジッセキ</t>
    </rPh>
    <rPh sb="27" eb="28">
      <t>ネン</t>
    </rPh>
    <rPh sb="28" eb="31">
      <t>シモハンキ</t>
    </rPh>
    <phoneticPr fontId="2"/>
  </si>
  <si>
    <t>価格</t>
    <rPh sb="0" eb="2">
      <t>カカク</t>
    </rPh>
    <phoneticPr fontId="2"/>
  </si>
  <si>
    <t>床面積</t>
    <rPh sb="0" eb="1">
      <t>ユカ</t>
    </rPh>
    <rPh sb="1" eb="3">
      <t>メンセキ</t>
    </rPh>
    <phoneticPr fontId="2"/>
  </si>
  <si>
    <t>築後年数</t>
    <rPh sb="0" eb="2">
      <t>チクゴ</t>
    </rPh>
    <rPh sb="2" eb="4">
      <t>ネンスウ</t>
    </rPh>
    <phoneticPr fontId="2"/>
  </si>
  <si>
    <t>万円</t>
    <rPh sb="0" eb="2">
      <t>マンエン</t>
    </rPh>
    <phoneticPr fontId="2"/>
  </si>
  <si>
    <t>分</t>
    <rPh sb="0" eb="1">
      <t>フン</t>
    </rPh>
    <phoneticPr fontId="2"/>
  </si>
  <si>
    <t>ｍ^2</t>
    <phoneticPr fontId="2"/>
  </si>
  <si>
    <t>年</t>
    <rPh sb="0" eb="1">
      <t>ネン</t>
    </rPh>
    <phoneticPr fontId="2"/>
  </si>
  <si>
    <t>ID</t>
    <phoneticPr fontId="2"/>
  </si>
  <si>
    <t>目的変数</t>
    <rPh sb="0" eb="4">
      <t>モクテキヘンスウ</t>
    </rPh>
    <phoneticPr fontId="2"/>
  </si>
  <si>
    <t>徒歩時間</t>
  </si>
  <si>
    <t>徒歩時間</t>
    <rPh sb="0" eb="2">
      <t>トホ</t>
    </rPh>
    <rPh sb="2" eb="4">
      <t>ジカン</t>
    </rPh>
    <phoneticPr fontId="2"/>
  </si>
  <si>
    <t>概要</t>
  </si>
  <si>
    <t>回帰統計</t>
  </si>
  <si>
    <t>重相関 R</t>
  </si>
  <si>
    <t>重決定 R2</t>
  </si>
  <si>
    <t>補正 R2</t>
  </si>
  <si>
    <t>標準誤差</t>
  </si>
  <si>
    <t>観測数</t>
  </si>
  <si>
    <t>分散分析表</t>
  </si>
  <si>
    <t>回帰</t>
  </si>
  <si>
    <t>残差</t>
  </si>
  <si>
    <t>合計</t>
  </si>
  <si>
    <t>切片</t>
  </si>
  <si>
    <t>自由度</t>
  </si>
  <si>
    <t>変動</t>
  </si>
  <si>
    <t>分散</t>
  </si>
  <si>
    <t>観測された分散比</t>
  </si>
  <si>
    <t>有意 F</t>
  </si>
  <si>
    <t>係数</t>
  </si>
  <si>
    <t xml:space="preserve">t </t>
  </si>
  <si>
    <t>P-値</t>
  </si>
  <si>
    <t>下限 95%</t>
  </si>
  <si>
    <t>上限 95%</t>
  </si>
  <si>
    <t>下限 95.0%</t>
  </si>
  <si>
    <t>上限 95.0%</t>
  </si>
  <si>
    <t>駅からの徒歩時間</t>
    <rPh sb="0" eb="1">
      <t>エキ</t>
    </rPh>
    <rPh sb="4" eb="8">
      <t>トホジカン</t>
    </rPh>
    <phoneticPr fontId="2"/>
  </si>
  <si>
    <t>床面積</t>
  </si>
  <si>
    <t>床面積</t>
    <rPh sb="0" eb="3">
      <t>ユカメンセキ</t>
    </rPh>
    <phoneticPr fontId="2"/>
  </si>
  <si>
    <t>築後年数</t>
  </si>
  <si>
    <t>築後年数</t>
    <rPh sb="0" eb="4">
      <t>チクゴネンスウ</t>
    </rPh>
    <phoneticPr fontId="2"/>
  </si>
  <si>
    <t>＊</t>
    <phoneticPr fontId="2"/>
  </si>
  <si>
    <t>目的変数：中古マンション価格，説明変数：床面積</t>
    <rPh sb="0" eb="4">
      <t>モクテキヘンスウ</t>
    </rPh>
    <rPh sb="5" eb="7">
      <t>チュウコ</t>
    </rPh>
    <rPh sb="12" eb="14">
      <t>カカク</t>
    </rPh>
    <rPh sb="15" eb="19">
      <t>セツメイヘンスウ</t>
    </rPh>
    <rPh sb="20" eb="23">
      <t>ユカメンセキ</t>
    </rPh>
    <phoneticPr fontId="2"/>
  </si>
  <si>
    <t>以下の表は，床面積の広さが中古マンション価格に与える影響について単回帰分析を行った推定結果である．この表に関して，以下の問いに答えなさい．</t>
    <rPh sb="6" eb="9">
      <t>ユカメンセキ</t>
    </rPh>
    <rPh sb="10" eb="11">
      <t>ヒロ</t>
    </rPh>
    <rPh sb="13" eb="15">
      <t>チュウコ</t>
    </rPh>
    <rPh sb="20" eb="22">
      <t>カカク</t>
    </rPh>
    <phoneticPr fontId="2"/>
  </si>
  <si>
    <t>ペースト用</t>
    <rPh sb="4" eb="5">
      <t>ヨウ</t>
    </rPh>
    <phoneticPr fontId="2"/>
  </si>
  <si>
    <t>（４）回帰係数bについて，有意水準（危険域）5%で考察を行ったとき，以下のうち正しいものはどれか．</t>
    <phoneticPr fontId="2"/>
  </si>
  <si>
    <t>①有意水準5%で帰無仮説を棄却できず，対立仮説を採択する．</t>
    <phoneticPr fontId="2"/>
  </si>
  <si>
    <t>②有意水準5％で帰無仮説を棄却できず，帰無仮説を採択する．</t>
    <phoneticPr fontId="2"/>
  </si>
  <si>
    <t>③有意水準5％で帰無仮説を棄却し，対立仮説を採択する．</t>
    <phoneticPr fontId="2"/>
  </si>
  <si>
    <t>④有意水準5％で帰無仮説を棄却し，帰無仮説を採択する．</t>
    <phoneticPr fontId="2"/>
  </si>
  <si>
    <t>①説明変数が1単位増加すると，目的変数が78.9単位増加する．</t>
    <phoneticPr fontId="2"/>
  </si>
  <si>
    <t>②説明変数が1単位増加すると，目的変数が78.9単位減少する．</t>
    <phoneticPr fontId="2"/>
  </si>
  <si>
    <t>Q5</t>
    <phoneticPr fontId="2"/>
  </si>
  <si>
    <r>
      <t>問1.	打率0.31の野球選手が，今日の試合で5回打席に立つとする．ヒットの本数を</t>
    </r>
    <r>
      <rPr>
        <sz val="11"/>
        <color theme="1"/>
        <rFont val="Cambria Math"/>
        <family val="2"/>
      </rPr>
      <t>𝑥</t>
    </r>
    <r>
      <rPr>
        <sz val="11"/>
        <color theme="1"/>
        <rFont val="游ゴシック"/>
        <family val="2"/>
        <charset val="128"/>
        <scheme val="minor"/>
      </rPr>
      <t>とし、ヒットを打つ確率Pr(</t>
    </r>
    <r>
      <rPr>
        <sz val="11"/>
        <color theme="1"/>
        <rFont val="Cambria Math"/>
        <family val="2"/>
      </rPr>
      <t>𝑥)</t>
    </r>
    <r>
      <rPr>
        <sz val="11"/>
        <color theme="1"/>
        <rFont val="游ゴシック"/>
        <family val="2"/>
        <charset val="128"/>
        <scheme val="minor"/>
      </rPr>
      <t>について考えたい．</t>
    </r>
    <rPh sb="38" eb="40">
      <t>ホンスウ</t>
    </rPh>
    <rPh sb="50" eb="51">
      <t>ウ</t>
    </rPh>
    <rPh sb="52" eb="54">
      <t>カクリツ</t>
    </rPh>
    <phoneticPr fontId="2"/>
  </si>
  <si>
    <t>（１）確率分布関数を示しなさい．</t>
    <phoneticPr fontId="2"/>
  </si>
  <si>
    <t>（２）ヒットの本数の期待値と分散を求めなさい．</t>
    <phoneticPr fontId="2"/>
  </si>
  <si>
    <t xml:space="preserve">（３）ヒットが1本もない確率を求めなさい． </t>
    <phoneticPr fontId="2"/>
  </si>
  <si>
    <t xml:space="preserve">（４）ヒット数が3本以上である確率を求めなさい． </t>
    <phoneticPr fontId="2"/>
  </si>
  <si>
    <t>Q6</t>
    <phoneticPr fontId="2"/>
  </si>
  <si>
    <t>ポテトの重量150g表記は本当か？</t>
    <rPh sb="4" eb="6">
      <t>ジュウリョウ</t>
    </rPh>
    <rPh sb="10" eb="12">
      <t>ヒョウキ</t>
    </rPh>
    <rPh sb="13" eb="15">
      <t>ホントウ</t>
    </rPh>
    <phoneticPr fontId="2"/>
  </si>
  <si>
    <t>回数</t>
    <rPh sb="0" eb="2">
      <t>カイスウ</t>
    </rPh>
    <phoneticPr fontId="2"/>
  </si>
  <si>
    <t>重量</t>
    <rPh sb="0" eb="2">
      <t>ジュウリョウ</t>
    </rPh>
    <phoneticPr fontId="2"/>
  </si>
  <si>
    <t>仮説</t>
    <rPh sb="0" eb="2">
      <t>カセツ</t>
    </rPh>
    <phoneticPr fontId="2"/>
  </si>
  <si>
    <t>帰無仮説</t>
    <rPh sb="0" eb="4">
      <t>キムカセツ</t>
    </rPh>
    <phoneticPr fontId="2"/>
  </si>
  <si>
    <t>μ=150</t>
    <phoneticPr fontId="2"/>
  </si>
  <si>
    <t>i</t>
    <phoneticPr fontId="2"/>
  </si>
  <si>
    <r>
      <t>x</t>
    </r>
    <r>
      <rPr>
        <vertAlign val="subscript"/>
        <sz val="11"/>
        <color theme="1"/>
        <rFont val="游ゴシック"/>
        <family val="3"/>
        <charset val="128"/>
        <scheme val="minor"/>
      </rPr>
      <t>i</t>
    </r>
    <phoneticPr fontId="2"/>
  </si>
  <si>
    <t>対立仮説</t>
    <rPh sb="0" eb="2">
      <t>タイリツ</t>
    </rPh>
    <rPh sb="2" eb="4">
      <t>カセツ</t>
    </rPh>
    <phoneticPr fontId="2"/>
  </si>
  <si>
    <t>μ≠150</t>
    <phoneticPr fontId="2"/>
  </si>
  <si>
    <t>臨界値</t>
    <rPh sb="0" eb="3">
      <t>リンカイチ</t>
    </rPh>
    <phoneticPr fontId="2"/>
  </si>
  <si>
    <r>
      <t>t</t>
    </r>
    <r>
      <rPr>
        <vertAlign val="subscript"/>
        <sz val="11"/>
        <color theme="1"/>
        <rFont val="游ゴシック"/>
        <family val="3"/>
        <charset val="128"/>
        <scheme val="minor"/>
      </rPr>
      <t>0.025</t>
    </r>
    <r>
      <rPr>
        <sz val="11"/>
        <color theme="1"/>
        <rFont val="游ゴシック"/>
        <family val="2"/>
        <charset val="128"/>
        <scheme val="minor"/>
      </rPr>
      <t>(9)</t>
    </r>
    <phoneticPr fontId="2"/>
  </si>
  <si>
    <t>t値の計算</t>
    <rPh sb="1" eb="2">
      <t>アタイ</t>
    </rPh>
    <rPh sb="3" eb="5">
      <t>ケイサン</t>
    </rPh>
    <phoneticPr fontId="2"/>
  </si>
  <si>
    <t>標本平均</t>
    <rPh sb="0" eb="4">
      <t>ヒョウホンヘイキン</t>
    </rPh>
    <phoneticPr fontId="2"/>
  </si>
  <si>
    <t>母平均</t>
    <rPh sb="0" eb="3">
      <t>ボヘイキン</t>
    </rPh>
    <phoneticPr fontId="2"/>
  </si>
  <si>
    <t>標本不偏分散</t>
    <rPh sb="0" eb="4">
      <t>ヒョウホンフヘン</t>
    </rPh>
    <rPh sb="4" eb="6">
      <t>ブンサン</t>
    </rPh>
    <phoneticPr fontId="2"/>
  </si>
  <si>
    <t>標本標準偏差</t>
    <rPh sb="0" eb="2">
      <t>ヒョウホン</t>
    </rPh>
    <rPh sb="2" eb="6">
      <t>ヒョウジュンヘンサ</t>
    </rPh>
    <phoneticPr fontId="2"/>
  </si>
  <si>
    <t>標本数</t>
    <rPh sb="0" eb="3">
      <t>ヒョウホンスウ</t>
    </rPh>
    <phoneticPr fontId="2"/>
  </si>
  <si>
    <t>分子の部分</t>
    <rPh sb="0" eb="2">
      <t>ブンシ</t>
    </rPh>
    <rPh sb="3" eb="5">
      <t>ブブン</t>
    </rPh>
    <phoneticPr fontId="2"/>
  </si>
  <si>
    <t>分母の部分</t>
    <rPh sb="0" eb="2">
      <t>ブンボ</t>
    </rPh>
    <rPh sb="3" eb="5">
      <t>ブブン</t>
    </rPh>
    <phoneticPr fontId="2"/>
  </si>
  <si>
    <t>t値</t>
    <rPh sb="1" eb="2">
      <t>アタイ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</si>
</sst>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0"/>
    <numFmt numFmtId="177" formatCode="0.0000"/>
    <numFmt numFmtId="178" formatCode="0.000"/>
  </numFmts>
  <fonts count="9">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vertAlign val="superscript"/>
      <sz val="11"/>
      <color theme="1"/>
      <name val="游ゴシック"/>
      <family val="3"/>
      <charset val="128"/>
      <scheme val="minor"/>
    </font>
    <font>
      <sz val="11"/>
      <color rgb="FFFF0000"/>
      <name val="游ゴシック"/>
      <family val="3"/>
      <charset val="128"/>
      <scheme val="minor"/>
    </font>
    <font>
      <sz val="11"/>
      <name val="游ゴシック"/>
      <family val="3"/>
      <charset val="128"/>
      <scheme val="minor"/>
    </font>
    <font>
      <sz val="11"/>
      <color theme="4"/>
      <name val="游ゴシック"/>
      <family val="2"/>
      <charset val="128"/>
      <scheme val="minor"/>
    </font>
    <font>
      <sz val="11"/>
      <color theme="1"/>
      <name val="Cambria Math"/>
      <family val="2"/>
    </font>
    <font>
      <vertAlign val="subscript"/>
      <sz val="11"/>
      <color theme="1"/>
      <name val="游ゴシック"/>
      <family val="3"/>
      <charset val="128"/>
      <scheme val="minor"/>
    </font>
  </fonts>
  <fills count="3">
    <fill>
      <patternFill patternType="none"/>
    </fill>
    <fill>
      <patternFill patternType="gray125"/>
    </fill>
    <fill>
      <patternFill patternType="solid">
        <fgColor rgb="FFFFFF00"/>
        <bgColor indexed="64"/>
      </patternFill>
    </fill>
  </fills>
  <borders count="3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medium">
        <color indexed="64"/>
      </bottom>
      <diagonal/>
    </border>
    <border>
      <left/>
      <right/>
      <top style="medium">
        <color indexed="64"/>
      </top>
      <bottom style="thin">
        <color auto="1"/>
      </bottom>
      <diagonal/>
    </border>
    <border>
      <left style="thick">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dotted">
        <color auto="1"/>
      </right>
      <top style="thick">
        <color auto="1"/>
      </top>
      <bottom style="thin">
        <color auto="1"/>
      </bottom>
      <diagonal/>
    </border>
    <border>
      <left style="dotted">
        <color auto="1"/>
      </left>
      <right style="thick">
        <color auto="1"/>
      </right>
      <top style="thick">
        <color auto="1"/>
      </top>
      <bottom style="thin">
        <color auto="1"/>
      </bottom>
      <diagonal/>
    </border>
    <border>
      <left style="thick">
        <color auto="1"/>
      </left>
      <right style="thin">
        <color auto="1"/>
      </right>
      <top style="dotted">
        <color auto="1"/>
      </top>
      <bottom style="double">
        <color auto="1"/>
      </bottom>
      <diagonal/>
    </border>
    <border>
      <left style="thin">
        <color auto="1"/>
      </left>
      <right style="thick">
        <color auto="1"/>
      </right>
      <top style="dotted">
        <color auto="1"/>
      </top>
      <bottom style="double">
        <color auto="1"/>
      </bottom>
      <diagonal/>
    </border>
    <border>
      <left style="thick">
        <color auto="1"/>
      </left>
      <right style="dotted">
        <color auto="1"/>
      </right>
      <top style="thin">
        <color auto="1"/>
      </top>
      <bottom style="thick">
        <color auto="1"/>
      </bottom>
      <diagonal/>
    </border>
    <border>
      <left style="dotted">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dotted">
        <color auto="1"/>
      </right>
      <top style="thick">
        <color auto="1"/>
      </top>
      <bottom style="thick">
        <color auto="1"/>
      </bottom>
      <diagonal/>
    </border>
    <border>
      <left style="dotted">
        <color auto="1"/>
      </left>
      <right style="thick">
        <color auto="1"/>
      </right>
      <top style="thick">
        <color auto="1"/>
      </top>
      <bottom style="thick">
        <color auto="1"/>
      </bottom>
      <diagonal/>
    </border>
    <border>
      <left style="thick">
        <color auto="1"/>
      </left>
      <right style="dotted">
        <color auto="1"/>
      </right>
      <top style="thin">
        <color auto="1"/>
      </top>
      <bottom style="thin">
        <color auto="1"/>
      </bottom>
      <diagonal/>
    </border>
    <border>
      <left style="dotted">
        <color auto="1"/>
      </left>
      <right style="thick">
        <color auto="1"/>
      </right>
      <top style="thin">
        <color auto="1"/>
      </top>
      <bottom style="thin">
        <color auto="1"/>
      </bottom>
      <diagonal/>
    </border>
    <border>
      <left style="thick">
        <color auto="1"/>
      </left>
      <right style="dotted">
        <color auto="1"/>
      </right>
      <top style="thin">
        <color auto="1"/>
      </top>
      <bottom/>
      <diagonal/>
    </border>
    <border>
      <left style="dotted">
        <color auto="1"/>
      </left>
      <right style="thick">
        <color auto="1"/>
      </right>
      <top style="thin">
        <color auto="1"/>
      </top>
      <bottom/>
      <diagonal/>
    </border>
    <border>
      <left style="thick">
        <color auto="1"/>
      </left>
      <right style="dotted">
        <color auto="1"/>
      </right>
      <top style="double">
        <color auto="1"/>
      </top>
      <bottom style="thin">
        <color auto="1"/>
      </bottom>
      <diagonal/>
    </border>
    <border>
      <left style="dotted">
        <color auto="1"/>
      </left>
      <right style="thick">
        <color auto="1"/>
      </right>
      <top style="double">
        <color auto="1"/>
      </top>
      <bottom style="thin">
        <color auto="1"/>
      </bottom>
      <diagonal/>
    </border>
    <border>
      <left style="thick">
        <color auto="1"/>
      </left>
      <right style="dotted">
        <color auto="1"/>
      </right>
      <top style="thin">
        <color auto="1"/>
      </top>
      <bottom style="double">
        <color auto="1"/>
      </bottom>
      <diagonal/>
    </border>
    <border>
      <left style="dotted">
        <color auto="1"/>
      </left>
      <right style="thick">
        <color auto="1"/>
      </right>
      <top style="thin">
        <color auto="1"/>
      </top>
      <bottom style="double">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dotted">
        <color auto="1"/>
      </right>
      <top/>
      <bottom style="thick">
        <color auto="1"/>
      </bottom>
      <diagonal/>
    </border>
    <border>
      <left style="dotted">
        <color auto="1"/>
      </left>
      <right style="thick">
        <color auto="1"/>
      </right>
      <top/>
      <bottom style="thick">
        <color auto="1"/>
      </bottom>
      <diagonal/>
    </border>
  </borders>
  <cellStyleXfs count="1">
    <xf numFmtId="0" fontId="0" fillId="0" borderId="0">
      <alignment vertical="center"/>
    </xf>
  </cellStyleXfs>
  <cellXfs count="70">
    <xf numFmtId="0" fontId="0" fillId="0" borderId="0" xfId="0">
      <alignment vertical="center"/>
    </xf>
    <xf numFmtId="177" fontId="0" fillId="0" borderId="0" xfId="0" applyNumberFormat="1">
      <alignment vertical="center"/>
    </xf>
    <xf numFmtId="0" fontId="1" fillId="0" borderId="0" xfId="0" applyFont="1">
      <alignment vertical="center"/>
    </xf>
    <xf numFmtId="177" fontId="4" fillId="0" borderId="0" xfId="0" applyNumberFormat="1" applyFont="1">
      <alignment vertical="center"/>
    </xf>
    <xf numFmtId="0" fontId="4" fillId="0" borderId="0" xfId="0" applyFont="1">
      <alignment vertical="center"/>
    </xf>
    <xf numFmtId="0" fontId="0" fillId="0" borderId="1" xfId="0" applyBorder="1">
      <alignment vertical="center"/>
    </xf>
    <xf numFmtId="0" fontId="0" fillId="0" borderId="2" xfId="0" applyBorder="1">
      <alignment vertical="center"/>
    </xf>
    <xf numFmtId="0" fontId="1" fillId="0" borderId="1" xfId="0" applyFont="1" applyBorder="1">
      <alignment vertical="center"/>
    </xf>
    <xf numFmtId="0" fontId="4" fillId="0" borderId="2" xfId="0" applyFont="1" applyBorder="1">
      <alignment vertical="center"/>
    </xf>
    <xf numFmtId="0" fontId="0" fillId="0" borderId="3" xfId="0" applyBorder="1">
      <alignment vertical="center"/>
    </xf>
    <xf numFmtId="176" fontId="4" fillId="0" borderId="3" xfId="0" applyNumberFormat="1" applyFont="1" applyBorder="1">
      <alignment vertical="center"/>
    </xf>
    <xf numFmtId="0" fontId="5" fillId="0" borderId="1" xfId="0" applyFont="1" applyBorder="1">
      <alignment vertical="center"/>
    </xf>
    <xf numFmtId="177" fontId="1" fillId="0" borderId="2" xfId="0" applyNumberFormat="1" applyFont="1" applyBorder="1">
      <alignment vertical="center"/>
    </xf>
    <xf numFmtId="177" fontId="0" fillId="0" borderId="2" xfId="0" applyNumberFormat="1" applyBorder="1">
      <alignment vertical="center"/>
    </xf>
    <xf numFmtId="177" fontId="0" fillId="0" borderId="3" xfId="0" applyNumberFormat="1" applyBorder="1">
      <alignment vertical="center"/>
    </xf>
    <xf numFmtId="0" fontId="4" fillId="0" borderId="3" xfId="0" applyFont="1" applyBorder="1">
      <alignment vertical="center"/>
    </xf>
    <xf numFmtId="0" fontId="4" fillId="0" borderId="1" xfId="0" applyFont="1"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178" fontId="1" fillId="0" borderId="2" xfId="0" applyNumberFormat="1" applyFont="1" applyBorder="1">
      <alignment vertical="center"/>
    </xf>
    <xf numFmtId="178" fontId="0" fillId="0" borderId="2" xfId="0" applyNumberFormat="1" applyBorder="1">
      <alignment vertical="center"/>
    </xf>
    <xf numFmtId="0" fontId="0" fillId="0" borderId="0" xfId="0" applyAlignment="1">
      <alignment horizontal="left" vertical="center"/>
    </xf>
    <xf numFmtId="0" fontId="1" fillId="2" borderId="0" xfId="0" applyFont="1" applyFill="1">
      <alignment vertical="center"/>
    </xf>
    <xf numFmtId="0" fontId="4" fillId="2" borderId="0" xfId="0" applyFont="1" applyFill="1">
      <alignment vertical="center"/>
    </xf>
    <xf numFmtId="177" fontId="4" fillId="0" borderId="1" xfId="0" applyNumberFormat="1" applyFont="1" applyBorder="1">
      <alignment vertical="center"/>
    </xf>
    <xf numFmtId="0" fontId="6" fillId="0" borderId="2" xfId="0" applyFont="1" applyBorder="1">
      <alignment vertical="center"/>
    </xf>
    <xf numFmtId="0" fontId="0" fillId="0" borderId="4" xfId="0" applyBorder="1">
      <alignment vertical="center"/>
    </xf>
    <xf numFmtId="0" fontId="0" fillId="0" borderId="5" xfId="0" applyBorder="1" applyAlignment="1">
      <alignment horizontal="center" vertical="center"/>
    </xf>
    <xf numFmtId="0" fontId="0" fillId="0" borderId="5" xfId="0" applyBorder="1" applyAlignment="1">
      <alignment horizontal="centerContinuous" vertical="center"/>
    </xf>
    <xf numFmtId="0" fontId="0" fillId="0" borderId="5" xfId="0" applyBorder="1" applyAlignment="1">
      <alignment horizontal="centerContinuous" vertical="center" shrinkToFit="1"/>
    </xf>
    <xf numFmtId="0" fontId="0" fillId="0" borderId="0" xfId="0" applyAlignment="1">
      <alignment vertical="center" shrinkToFit="1"/>
    </xf>
    <xf numFmtId="0" fontId="0" fillId="0" borderId="4" xfId="0" applyBorder="1" applyAlignment="1">
      <alignment vertical="center" shrinkToFit="1"/>
    </xf>
    <xf numFmtId="0" fontId="0" fillId="0" borderId="5" xfId="0" applyBorder="1" applyAlignment="1">
      <alignment horizontal="center" vertical="center" shrinkToFit="1"/>
    </xf>
    <xf numFmtId="177" fontId="0" fillId="0" borderId="0" xfId="0" applyNumberFormat="1" applyAlignment="1">
      <alignment vertical="center" shrinkToFit="1"/>
    </xf>
    <xf numFmtId="177" fontId="0" fillId="0" borderId="4" xfId="0" applyNumberFormat="1" applyBorder="1" applyAlignment="1">
      <alignment vertical="center" shrinkToFit="1"/>
    </xf>
    <xf numFmtId="0" fontId="1" fillId="2" borderId="4" xfId="0" applyFont="1" applyFill="1" applyBorder="1">
      <alignment vertical="center"/>
    </xf>
    <xf numFmtId="0" fontId="0" fillId="0" borderId="0" xfId="0" applyAlignment="1">
      <alignment horizontal="righ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right" vertical="center"/>
    </xf>
    <xf numFmtId="0" fontId="1" fillId="0" borderId="9" xfId="0" applyFont="1" applyBorder="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right" vertical="center"/>
    </xf>
    <xf numFmtId="0" fontId="4" fillId="0" borderId="13" xfId="0" applyFont="1"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pplyAlignment="1">
      <alignment horizontal="right" vertical="center"/>
    </xf>
    <xf numFmtId="178" fontId="1" fillId="0" borderId="19" xfId="0" applyNumberFormat="1" applyFont="1" applyBorder="1">
      <alignment vertical="center"/>
    </xf>
    <xf numFmtId="0" fontId="0" fillId="0" borderId="20" xfId="0" applyBorder="1" applyAlignment="1">
      <alignment horizontal="right" vertical="center"/>
    </xf>
    <xf numFmtId="0" fontId="0" fillId="0" borderId="21" xfId="0" applyBorder="1">
      <alignment vertical="center"/>
    </xf>
    <xf numFmtId="178" fontId="1" fillId="0" borderId="0" xfId="0" applyNumberFormat="1" applyFont="1">
      <alignment vertical="center"/>
    </xf>
    <xf numFmtId="0" fontId="0" fillId="0" borderId="22" xfId="0" applyBorder="1" applyAlignment="1">
      <alignment horizontal="right" vertical="center"/>
    </xf>
    <xf numFmtId="0" fontId="0" fillId="0" borderId="23" xfId="0" applyBorder="1">
      <alignment vertical="center"/>
    </xf>
    <xf numFmtId="0" fontId="0" fillId="0" borderId="24" xfId="0" applyBorder="1" applyAlignment="1">
      <alignment horizontal="right" vertical="center"/>
    </xf>
    <xf numFmtId="0" fontId="1" fillId="0" borderId="25" xfId="0" applyFont="1" applyBorder="1">
      <alignment vertical="center"/>
    </xf>
    <xf numFmtId="0" fontId="0" fillId="0" borderId="26" xfId="0" applyBorder="1" applyAlignment="1">
      <alignment horizontal="right" vertical="center"/>
    </xf>
    <xf numFmtId="0" fontId="1" fillId="0" borderId="27" xfId="0" applyFont="1" applyBorder="1">
      <alignment vertical="center"/>
    </xf>
    <xf numFmtId="0" fontId="0" fillId="0" borderId="28" xfId="0" applyBorder="1">
      <alignment vertical="center"/>
    </xf>
    <xf numFmtId="0" fontId="0" fillId="0" borderId="29" xfId="0" applyBorder="1">
      <alignment vertical="center"/>
    </xf>
    <xf numFmtId="0" fontId="0" fillId="0" borderId="30" xfId="0" applyBorder="1" applyAlignment="1">
      <alignment horizontal="right" vertical="center"/>
    </xf>
    <xf numFmtId="177" fontId="1" fillId="0" borderId="31" xfId="0" applyNumberFormat="1" applyFont="1" applyBorder="1">
      <alignment vertical="center"/>
    </xf>
    <xf numFmtId="178" fontId="1" fillId="0" borderId="21" xfId="0" applyNumberFormat="1"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19</xdr:row>
      <xdr:rowOff>0</xdr:rowOff>
    </xdr:from>
    <xdr:to>
      <xdr:col>2</xdr:col>
      <xdr:colOff>9525</xdr:colOff>
      <xdr:row>19</xdr:row>
      <xdr:rowOff>57150</xdr:rowOff>
    </xdr:to>
    <xdr:pic>
      <xdr:nvPicPr>
        <xdr:cNvPr id="2" name="Picture 1" descr="http://www.land.mlit.go.jp/webland/img/gis/estate_price_used_footer_bg.gif">
          <a:extLst>
            <a:ext uri="{FF2B5EF4-FFF2-40B4-BE49-F238E27FC236}">
              <a16:creationId xmlns:a16="http://schemas.microsoft.com/office/drawing/2014/main" id="{58DC28C5-A4E7-4E86-962B-4FA1C1FC0B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09600" y="3302000"/>
          <a:ext cx="9525" cy="57150"/>
        </a:xfrm>
        <a:prstGeom prst="rect">
          <a:avLst/>
        </a:prstGeom>
        <a:noFill/>
      </xdr:spPr>
    </xdr:pic>
    <xdr:clientData/>
  </xdr:twoCellAnchor>
  <xdr:twoCellAnchor editAs="oneCell">
    <xdr:from>
      <xdr:col>3</xdr:col>
      <xdr:colOff>0</xdr:colOff>
      <xdr:row>19</xdr:row>
      <xdr:rowOff>0</xdr:rowOff>
    </xdr:from>
    <xdr:to>
      <xdr:col>3</xdr:col>
      <xdr:colOff>9525</xdr:colOff>
      <xdr:row>19</xdr:row>
      <xdr:rowOff>57150</xdr:rowOff>
    </xdr:to>
    <xdr:pic>
      <xdr:nvPicPr>
        <xdr:cNvPr id="3" name="Picture 1" descr="http://www.land.mlit.go.jp/webland/img/gis/estate_price_used_footer_bg.gif">
          <a:extLst>
            <a:ext uri="{FF2B5EF4-FFF2-40B4-BE49-F238E27FC236}">
              <a16:creationId xmlns:a16="http://schemas.microsoft.com/office/drawing/2014/main" id="{957F08FB-607E-4002-BE2F-EE0699A34E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9200" y="3302000"/>
          <a:ext cx="9525" cy="57150"/>
        </a:xfrm>
        <a:prstGeom prst="rect">
          <a:avLst/>
        </a:prstGeom>
        <a:noFill/>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77FB-EB57-4367-A2D7-1861A9FAA3CE}">
  <dimension ref="B1:L17"/>
  <sheetViews>
    <sheetView showGridLines="0" workbookViewId="0">
      <selection activeCell="D7" sqref="D7"/>
    </sheetView>
  </sheetViews>
  <sheetFormatPr defaultRowHeight="18"/>
  <cols>
    <col min="1" max="1" width="3.58203125" customWidth="1"/>
    <col min="2" max="2" width="3.5" bestFit="1" customWidth="1"/>
    <col min="3" max="3" width="3.5" customWidth="1"/>
    <col min="4" max="4" width="6.4140625" customWidth="1"/>
    <col min="5" max="5" width="3.1640625" bestFit="1" customWidth="1"/>
    <col min="6" max="6" width="2.1640625" bestFit="1" customWidth="1"/>
    <col min="7" max="7" width="9.1640625" bestFit="1" customWidth="1"/>
    <col min="8" max="8" width="6.6640625" bestFit="1" customWidth="1"/>
    <col min="9" max="9" width="9.1640625" bestFit="1" customWidth="1"/>
    <col min="10" max="10" width="11.1640625" customWidth="1"/>
    <col min="11" max="11" width="5.1640625" bestFit="1" customWidth="1"/>
    <col min="12" max="12" width="7.1640625" bestFit="1" customWidth="1"/>
    <col min="13" max="13" width="3.58203125" customWidth="1"/>
  </cols>
  <sheetData>
    <row r="1" spans="2:12">
      <c r="B1" t="s">
        <v>0</v>
      </c>
    </row>
    <row r="2" spans="2:12" ht="41.5" customHeight="1">
      <c r="C2" t="s">
        <v>114</v>
      </c>
    </row>
    <row r="3" spans="2:12">
      <c r="D3" t="s">
        <v>115</v>
      </c>
    </row>
    <row r="4" spans="2:12">
      <c r="D4" t="s">
        <v>116</v>
      </c>
    </row>
    <row r="5" spans="2:12">
      <c r="D5" t="s">
        <v>117</v>
      </c>
    </row>
    <row r="6" spans="2:12">
      <c r="D6" t="s">
        <v>118</v>
      </c>
    </row>
    <row r="8" spans="2:12" s="17" customFormat="1" ht="20">
      <c r="D8" s="17" t="s">
        <v>1</v>
      </c>
      <c r="E8" s="17" t="s">
        <v>2</v>
      </c>
      <c r="F8" s="18" t="s">
        <v>3</v>
      </c>
      <c r="G8" s="19" t="s">
        <v>4</v>
      </c>
      <c r="H8" s="19" t="s">
        <v>5</v>
      </c>
      <c r="I8" s="19" t="s">
        <v>6</v>
      </c>
      <c r="J8" s="20" t="s">
        <v>7</v>
      </c>
      <c r="K8" s="21" t="s">
        <v>8</v>
      </c>
      <c r="L8" s="22" t="s">
        <v>9</v>
      </c>
    </row>
    <row r="9" spans="2:12">
      <c r="D9">
        <v>0.31</v>
      </c>
      <c r="E9">
        <v>5</v>
      </c>
      <c r="F9" s="5">
        <v>0</v>
      </c>
      <c r="G9" s="9">
        <f>COMBIN($E$9,F9)</f>
        <v>1</v>
      </c>
      <c r="H9" s="14">
        <f t="shared" ref="H9:H14" si="0">$D$9^F9</f>
        <v>1</v>
      </c>
      <c r="I9" s="14">
        <f t="shared" ref="I9:I14" si="1">(1-$D$9)^($E$9-F9)</f>
        <v>0.15640313489999993</v>
      </c>
      <c r="J9" s="12">
        <f t="shared" ref="J9:J14" si="2">G9*H9*I9</f>
        <v>0.15640313489999993</v>
      </c>
      <c r="K9" s="4">
        <f>E9*D9</f>
        <v>1.55</v>
      </c>
      <c r="L9" s="4">
        <f>E9*D9*(1-D9)</f>
        <v>1.0694999999999999</v>
      </c>
    </row>
    <row r="10" spans="2:12">
      <c r="F10" s="5">
        <v>1</v>
      </c>
      <c r="G10" s="9">
        <f t="shared" ref="G10:G14" si="3">COMBIN($E$9,F10)</f>
        <v>5</v>
      </c>
      <c r="H10" s="14">
        <f t="shared" si="0"/>
        <v>0.31</v>
      </c>
      <c r="I10" s="14">
        <f t="shared" si="1"/>
        <v>0.22667120999999993</v>
      </c>
      <c r="J10" s="13">
        <f t="shared" si="2"/>
        <v>0.35134037549999991</v>
      </c>
    </row>
    <row r="11" spans="2:12">
      <c r="F11" s="5">
        <v>2</v>
      </c>
      <c r="G11" s="9">
        <f t="shared" si="3"/>
        <v>10</v>
      </c>
      <c r="H11" s="14">
        <f t="shared" si="0"/>
        <v>9.6100000000000005E-2</v>
      </c>
      <c r="I11" s="14">
        <f t="shared" si="1"/>
        <v>0.32850899999999994</v>
      </c>
      <c r="J11" s="13">
        <f t="shared" si="2"/>
        <v>0.31569714899999995</v>
      </c>
    </row>
    <row r="12" spans="2:12">
      <c r="F12" s="5">
        <v>3</v>
      </c>
      <c r="G12" s="9">
        <f t="shared" si="3"/>
        <v>10</v>
      </c>
      <c r="H12" s="14">
        <f t="shared" si="0"/>
        <v>2.9791000000000002E-2</v>
      </c>
      <c r="I12" s="14">
        <f t="shared" si="1"/>
        <v>0.47609999999999991</v>
      </c>
      <c r="J12" s="13">
        <f t="shared" si="2"/>
        <v>0.14183495099999999</v>
      </c>
    </row>
    <row r="13" spans="2:12">
      <c r="F13" s="5">
        <v>4</v>
      </c>
      <c r="G13" s="9">
        <f t="shared" si="3"/>
        <v>5</v>
      </c>
      <c r="H13" s="14">
        <f t="shared" si="0"/>
        <v>9.2352100000000006E-3</v>
      </c>
      <c r="I13" s="14">
        <f t="shared" si="1"/>
        <v>0.69</v>
      </c>
      <c r="J13" s="13">
        <f t="shared" si="2"/>
        <v>3.18614745E-2</v>
      </c>
    </row>
    <row r="14" spans="2:12">
      <c r="F14" s="5">
        <v>5</v>
      </c>
      <c r="G14" s="9">
        <f t="shared" si="3"/>
        <v>1</v>
      </c>
      <c r="H14" s="14">
        <f t="shared" si="0"/>
        <v>2.8629151000000002E-3</v>
      </c>
      <c r="I14" s="14">
        <f t="shared" si="1"/>
        <v>1</v>
      </c>
      <c r="J14" s="13">
        <f t="shared" si="2"/>
        <v>2.8629151000000002E-3</v>
      </c>
    </row>
    <row r="15" spans="2:12">
      <c r="I15" t="s">
        <v>10</v>
      </c>
      <c r="J15" s="1">
        <f>SUM(J9:J14)</f>
        <v>0.99999999999999989</v>
      </c>
    </row>
    <row r="16" spans="2:12">
      <c r="I16" s="2" t="s">
        <v>26</v>
      </c>
      <c r="J16" s="3">
        <f>SUM(J12:J14)</f>
        <v>0.17655934059999998</v>
      </c>
    </row>
    <row r="17" spans="10:10">
      <c r="J17" s="3">
        <f>1-(SUM(J9:J11))</f>
        <v>0.17655934060000011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0FDB-7B56-4198-9F54-F88F1A8645E9}">
  <dimension ref="B1:H12"/>
  <sheetViews>
    <sheetView showGridLines="0" workbookViewId="0">
      <selection activeCell="B1" sqref="B1"/>
    </sheetView>
  </sheetViews>
  <sheetFormatPr defaultRowHeight="18"/>
  <cols>
    <col min="1" max="1" width="3.58203125" customWidth="1"/>
    <col min="2" max="2" width="3.5" bestFit="1" customWidth="1"/>
    <col min="3" max="3" width="8.1640625" bestFit="1" customWidth="1"/>
    <col min="4" max="4" width="6.1640625" bestFit="1" customWidth="1"/>
    <col min="5" max="6" width="4.75" bestFit="1" customWidth="1"/>
    <col min="7" max="7" width="4.75" customWidth="1"/>
    <col min="8" max="8" width="6.6640625" bestFit="1" customWidth="1"/>
    <col min="10" max="10" width="3.58203125" customWidth="1"/>
  </cols>
  <sheetData>
    <row r="1" spans="2:8">
      <c r="B1" t="s">
        <v>11</v>
      </c>
    </row>
    <row r="2" spans="2:8">
      <c r="C2" t="s">
        <v>29</v>
      </c>
    </row>
    <row r="3" spans="2:8">
      <c r="D3" t="s">
        <v>27</v>
      </c>
    </row>
    <row r="4" spans="2:8">
      <c r="D4" t="s">
        <v>28</v>
      </c>
    </row>
    <row r="6" spans="2:8" s="17" customFormat="1">
      <c r="C6" s="17" t="s">
        <v>1</v>
      </c>
      <c r="D6" s="17" t="s">
        <v>2</v>
      </c>
      <c r="E6" s="21" t="s">
        <v>8</v>
      </c>
      <c r="F6" s="22" t="s">
        <v>9</v>
      </c>
      <c r="G6" s="23" t="s">
        <v>3</v>
      </c>
      <c r="H6" s="20" t="s">
        <v>7</v>
      </c>
    </row>
    <row r="7" spans="2:8">
      <c r="C7">
        <f>1/20000</f>
        <v>5.0000000000000002E-5</v>
      </c>
      <c r="D7">
        <v>30000</v>
      </c>
      <c r="E7" s="4">
        <f>C7*D7</f>
        <v>1.5</v>
      </c>
      <c r="F7" s="4">
        <f>C7*D7</f>
        <v>1.5</v>
      </c>
      <c r="G7" s="11">
        <v>0</v>
      </c>
      <c r="H7" s="24">
        <f t="shared" ref="H7:H12" si="0">_xlfn.POISSON.DIST(G7,$E$7,FALSE)</f>
        <v>0.22313016014842982</v>
      </c>
    </row>
    <row r="8" spans="2:8">
      <c r="G8" s="5">
        <v>1</v>
      </c>
      <c r="H8" s="25">
        <f t="shared" si="0"/>
        <v>0.33469524022264474</v>
      </c>
    </row>
    <row r="9" spans="2:8">
      <c r="G9" s="5">
        <v>2</v>
      </c>
      <c r="H9" s="25">
        <f t="shared" si="0"/>
        <v>0.25102143016698358</v>
      </c>
    </row>
    <row r="10" spans="2:8">
      <c r="G10" s="5">
        <v>3</v>
      </c>
      <c r="H10" s="25">
        <f t="shared" si="0"/>
        <v>0.12551071508349182</v>
      </c>
    </row>
    <row r="11" spans="2:8">
      <c r="G11" s="5">
        <v>4</v>
      </c>
      <c r="H11" s="25">
        <f t="shared" si="0"/>
        <v>4.7066518156309439E-2</v>
      </c>
    </row>
    <row r="12" spans="2:8">
      <c r="G12" s="5">
        <v>5</v>
      </c>
      <c r="H12" s="25">
        <f t="shared" si="0"/>
        <v>1.4119955446892818E-2</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02AB-A433-46E7-AD58-038E7EF3480E}">
  <dimension ref="B1:G20"/>
  <sheetViews>
    <sheetView showGridLines="0" workbookViewId="0"/>
  </sheetViews>
  <sheetFormatPr defaultRowHeight="18"/>
  <cols>
    <col min="1" max="1" width="3.58203125" customWidth="1"/>
    <col min="2" max="2" width="3.5" bestFit="1" customWidth="1"/>
    <col min="3" max="3" width="4.83203125" bestFit="1" customWidth="1"/>
    <col min="4" max="4" width="3.6640625" bestFit="1" customWidth="1"/>
    <col min="5" max="5" width="16.33203125" customWidth="1"/>
    <col min="6" max="6" width="7.6640625" bestFit="1" customWidth="1"/>
    <col min="7" max="7" width="11.1640625" bestFit="1" customWidth="1"/>
    <col min="8" max="8" width="7.6640625" bestFit="1" customWidth="1"/>
    <col min="9" max="9" width="7.33203125" bestFit="1" customWidth="1"/>
    <col min="10" max="10" width="5.1640625" bestFit="1" customWidth="1"/>
    <col min="11" max="11" width="8.33203125" bestFit="1" customWidth="1"/>
  </cols>
  <sheetData>
    <row r="1" spans="2:7">
      <c r="B1" t="s">
        <v>12</v>
      </c>
    </row>
    <row r="2" spans="2:7">
      <c r="C2" t="s">
        <v>30</v>
      </c>
    </row>
    <row r="3" spans="2:7">
      <c r="D3" t="s">
        <v>31</v>
      </c>
    </row>
    <row r="4" spans="2:7">
      <c r="E4" s="27" t="s">
        <v>41</v>
      </c>
      <c r="F4" s="28">
        <f>(3+5)/(3+5+2)</f>
        <v>0.8</v>
      </c>
    </row>
    <row r="5" spans="2:7">
      <c r="E5" s="2" t="str">
        <f>"(3+5)/(3+5+2) = 8/10 = 0.8"</f>
        <v>(3+5)/(3+5+2) = 8/10 = 0.8</v>
      </c>
    </row>
    <row r="6" spans="2:7">
      <c r="D6" t="s">
        <v>32</v>
      </c>
    </row>
    <row r="7" spans="2:7">
      <c r="E7" s="27" t="s">
        <v>42</v>
      </c>
      <c r="F7" s="28">
        <f>4/6</f>
        <v>0.66666666666666663</v>
      </c>
    </row>
    <row r="8" spans="2:7">
      <c r="E8" s="2" t="str">
        <f>"A:{2, 4, 6}, B:{3, 6}, A∪B:{2, 3, 4, 6}, Pr(A∪B) = 4/6 = 2/3"</f>
        <v>A:{2, 4, 6}, B:{3, 6}, A∪B:{2, 3, 4, 6}, Pr(A∪B) = 4/6 = 2/3</v>
      </c>
    </row>
    <row r="9" spans="2:7">
      <c r="D9" t="s">
        <v>33</v>
      </c>
    </row>
    <row r="10" spans="2:7">
      <c r="E10" s="27" t="s">
        <v>43</v>
      </c>
      <c r="F10" s="28">
        <f>(COMBIN(2,2))*((0.4)^2)*((1-0.4)^(2-2))</f>
        <v>0.16000000000000003</v>
      </c>
      <c r="G10">
        <f>0.4*0.4</f>
        <v>0.16000000000000003</v>
      </c>
    </row>
    <row r="11" spans="2:7">
      <c r="E11" s="2" t="s">
        <v>38</v>
      </c>
    </row>
    <row r="12" spans="2:7">
      <c r="E12" s="2" t="s">
        <v>39</v>
      </c>
    </row>
    <row r="13" spans="2:7">
      <c r="D13" t="s">
        <v>34</v>
      </c>
    </row>
    <row r="14" spans="2:7">
      <c r="E14" s="27" t="s">
        <v>44</v>
      </c>
      <c r="F14" s="28">
        <f>1-((39/52)*(38/51))</f>
        <v>0.44117647058823528</v>
      </c>
      <c r="G14">
        <f>15/34</f>
        <v>0.44117647058823528</v>
      </c>
    </row>
    <row r="15" spans="2:7">
      <c r="E15" s="2" t="s">
        <v>37</v>
      </c>
    </row>
    <row r="16" spans="2:7">
      <c r="E16" s="4" t="s">
        <v>36</v>
      </c>
    </row>
    <row r="17" spans="4:7">
      <c r="D17" t="s">
        <v>35</v>
      </c>
    </row>
    <row r="18" spans="4:7">
      <c r="E18" s="27" t="s">
        <v>45</v>
      </c>
      <c r="F18" s="28">
        <f>(12/40)/(20/40)</f>
        <v>0.6</v>
      </c>
      <c r="G18">
        <f>3/5</f>
        <v>0.6</v>
      </c>
    </row>
    <row r="19" spans="4:7">
      <c r="E19" s="4" t="s">
        <v>40</v>
      </c>
    </row>
    <row r="20" spans="4:7">
      <c r="E20" s="2" t="str">
        <f>"Pr(B|A) = Pr(A∩B)/Pr(A) = (12/40)/(20/40) = 12/20 = 3/5"</f>
        <v>Pr(B|A) = Pr(A∩B)/Pr(A) = (12/40)/(20/40) = 12/20 = 3/5</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3BE4-C924-44DD-840E-414CF9F5F5FD}">
  <dimension ref="B1:H8"/>
  <sheetViews>
    <sheetView showGridLines="0" workbookViewId="0">
      <selection activeCell="C1" sqref="C1"/>
    </sheetView>
  </sheetViews>
  <sheetFormatPr defaultRowHeight="18"/>
  <cols>
    <col min="1" max="1" width="3.58203125" customWidth="1"/>
    <col min="2" max="2" width="3.5" bestFit="1" customWidth="1"/>
    <col min="3" max="3" width="4.83203125" bestFit="1" customWidth="1"/>
    <col min="4" max="4" width="3.6640625" bestFit="1" customWidth="1"/>
    <col min="5" max="5" width="10.6640625" bestFit="1" customWidth="1"/>
    <col min="6" max="6" width="7.6640625" bestFit="1" customWidth="1"/>
    <col min="7" max="7" width="7.33203125" bestFit="1" customWidth="1"/>
    <col min="8" max="8" width="5.1640625" bestFit="1" customWidth="1"/>
    <col min="9" max="9" width="3.58203125" customWidth="1"/>
  </cols>
  <sheetData>
    <row r="1" spans="2:8">
      <c r="B1" t="s">
        <v>18</v>
      </c>
    </row>
    <row r="2" spans="2:8">
      <c r="C2" t="s">
        <v>47</v>
      </c>
    </row>
    <row r="3" spans="2:8">
      <c r="D3" t="s">
        <v>48</v>
      </c>
    </row>
    <row r="4" spans="2:8">
      <c r="D4" t="s">
        <v>49</v>
      </c>
    </row>
    <row r="6" spans="2:8" s="17" customFormat="1">
      <c r="C6" s="17" t="s">
        <v>13</v>
      </c>
      <c r="D6" s="17" t="s">
        <v>14</v>
      </c>
      <c r="E6" s="18">
        <v>80</v>
      </c>
      <c r="F6" s="19" t="s">
        <v>46</v>
      </c>
      <c r="G6" s="18" t="s">
        <v>17</v>
      </c>
      <c r="H6" s="20"/>
    </row>
    <row r="7" spans="2:8">
      <c r="C7">
        <v>65</v>
      </c>
      <c r="D7">
        <v>12</v>
      </c>
      <c r="E7" s="5" t="s">
        <v>15</v>
      </c>
      <c r="F7" s="9">
        <f>(E6-$C$7)/$D$7</f>
        <v>1.25</v>
      </c>
      <c r="G7" s="5" t="s">
        <v>16</v>
      </c>
      <c r="H7" s="6">
        <v>1.65</v>
      </c>
    </row>
    <row r="8" spans="2:8">
      <c r="E8" s="7" t="str">
        <f>"Pr(z&gt;="&amp;F7&amp;")"</f>
        <v>Pr(z&gt;=1.25)</v>
      </c>
      <c r="F8" s="10">
        <f>1-_xlfn.NORM.DIST(F7,0,1,TRUE)</f>
        <v>0.10564977366685524</v>
      </c>
      <c r="G8" s="7" t="s">
        <v>3</v>
      </c>
      <c r="H8" s="8">
        <f>(H7*$D$7)+$C$7</f>
        <v>84.8</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817D-091F-4150-BFB8-BF96817D9753}">
  <dimension ref="B1:I16"/>
  <sheetViews>
    <sheetView showGridLines="0" workbookViewId="0">
      <selection activeCell="G1" sqref="G1"/>
    </sheetView>
  </sheetViews>
  <sheetFormatPr defaultRowHeight="18"/>
  <cols>
    <col min="1" max="1" width="3.58203125" customWidth="1"/>
    <col min="2" max="2" width="3.5" bestFit="1" customWidth="1"/>
    <col min="3" max="3" width="4.83203125" customWidth="1"/>
    <col min="4" max="4" width="6.6640625" customWidth="1"/>
    <col min="5" max="5" width="9.4140625" customWidth="1"/>
    <col min="6" max="7" width="12.33203125" bestFit="1" customWidth="1"/>
    <col min="8" max="8" width="7.6640625" bestFit="1" customWidth="1"/>
  </cols>
  <sheetData>
    <row r="1" spans="2:9">
      <c r="B1" t="s">
        <v>18</v>
      </c>
    </row>
    <row r="2" spans="2:9">
      <c r="C2" t="s">
        <v>47</v>
      </c>
    </row>
    <row r="3" spans="2:9">
      <c r="D3" t="s">
        <v>50</v>
      </c>
    </row>
    <row r="4" spans="2:9">
      <c r="D4" t="s">
        <v>51</v>
      </c>
    </row>
    <row r="5" spans="2:9">
      <c r="D5" t="s">
        <v>52</v>
      </c>
    </row>
    <row r="7" spans="2:9" s="17" customFormat="1" ht="20">
      <c r="D7" s="18" t="s">
        <v>19</v>
      </c>
      <c r="E7" s="19" t="s">
        <v>3</v>
      </c>
      <c r="F7" s="20" t="s">
        <v>21</v>
      </c>
      <c r="G7" s="18" t="s">
        <v>53</v>
      </c>
      <c r="H7" s="19">
        <v>0.05</v>
      </c>
      <c r="I7" s="20">
        <f>_xlfn.T.INV.2T(H7,4)</f>
        <v>2.7764451051977934</v>
      </c>
    </row>
    <row r="8" spans="2:9">
      <c r="D8" s="5">
        <v>1</v>
      </c>
      <c r="E8" s="9">
        <v>72</v>
      </c>
      <c r="F8" s="6">
        <f>(E8-$E$14)^2</f>
        <v>25</v>
      </c>
      <c r="G8" s="5" t="s">
        <v>54</v>
      </c>
      <c r="H8" s="9"/>
      <c r="I8" s="30">
        <v>2.7764000000000002</v>
      </c>
    </row>
    <row r="9" spans="2:9">
      <c r="D9" s="5">
        <f t="shared" ref="D9:D12" si="0">D8+1</f>
        <v>2</v>
      </c>
      <c r="E9" s="9">
        <v>57</v>
      </c>
      <c r="F9" s="6">
        <f>(E9-$E$14)^2</f>
        <v>100</v>
      </c>
      <c r="G9" s="7" t="s">
        <v>24</v>
      </c>
      <c r="H9" s="29">
        <f>$E$14-$I$7*SQRT($F$16/5)</f>
        <v>45.800609803277204</v>
      </c>
      <c r="I9" s="30">
        <f>$E$14-$I$8*SQRT($F$16/5)</f>
        <v>45.80095420147407</v>
      </c>
    </row>
    <row r="10" spans="2:9">
      <c r="D10" s="5">
        <f t="shared" si="0"/>
        <v>3</v>
      </c>
      <c r="E10" s="9">
        <v>65</v>
      </c>
      <c r="F10" s="6">
        <f>(E10-$E$14)^2</f>
        <v>4</v>
      </c>
      <c r="G10" s="16" t="s">
        <v>25</v>
      </c>
      <c r="H10" s="29">
        <f>$E$14+$I$7*SQRT($F$16/5)</f>
        <v>88.199390196722788</v>
      </c>
      <c r="I10" s="30">
        <f>$E$14+$I$8*SQRT($F$16/5)</f>
        <v>88.19904579852593</v>
      </c>
    </row>
    <row r="11" spans="2:9">
      <c r="D11" s="5">
        <f t="shared" si="0"/>
        <v>4</v>
      </c>
      <c r="E11" s="9">
        <v>48</v>
      </c>
      <c r="F11" s="6">
        <f>(E11-$E$14)^2</f>
        <v>361</v>
      </c>
    </row>
    <row r="12" spans="2:9">
      <c r="D12" s="5">
        <f t="shared" si="0"/>
        <v>5</v>
      </c>
      <c r="E12" s="9">
        <v>93</v>
      </c>
      <c r="F12" s="6">
        <f>(E12-$E$14)^2</f>
        <v>676</v>
      </c>
    </row>
    <row r="13" spans="2:9">
      <c r="D13" s="5" t="s">
        <v>10</v>
      </c>
      <c r="E13" s="9">
        <f>SUM(E8:E12)</f>
        <v>335</v>
      </c>
      <c r="F13" s="6">
        <f>SUM(F8:F12)</f>
        <v>1166</v>
      </c>
    </row>
    <row r="14" spans="2:9">
      <c r="D14" s="7" t="s">
        <v>20</v>
      </c>
      <c r="E14" s="15">
        <f>AVERAGE(E8:E12)</f>
        <v>67</v>
      </c>
      <c r="F14" s="6"/>
    </row>
    <row r="15" spans="2:9">
      <c r="D15" s="7" t="s">
        <v>22</v>
      </c>
      <c r="E15" s="15"/>
      <c r="F15" s="8">
        <f>_xlfn.VAR.P(E8:E12)</f>
        <v>233.2</v>
      </c>
      <c r="G15">
        <f>F13/5</f>
        <v>233.2</v>
      </c>
    </row>
    <row r="16" spans="2:9">
      <c r="D16" s="16" t="s">
        <v>23</v>
      </c>
      <c r="E16" s="15"/>
      <c r="F16" s="8">
        <f>_xlfn.VAR.S(E8:E12)</f>
        <v>291.5</v>
      </c>
      <c r="G16">
        <f>F13/4</f>
        <v>291.5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9974-9283-4A5A-A103-AC10FBBFB500}">
  <dimension ref="B1:AI24"/>
  <sheetViews>
    <sheetView showGridLines="0" workbookViewId="0">
      <selection activeCell="B1" sqref="B1"/>
    </sheetView>
  </sheetViews>
  <sheetFormatPr defaultRowHeight="18"/>
  <cols>
    <col min="1" max="1" width="3.58203125" customWidth="1"/>
    <col min="2" max="2" width="3.5" bestFit="1" customWidth="1"/>
    <col min="14" max="14" width="3.58203125" customWidth="1"/>
    <col min="26" max="26" width="3.58203125" customWidth="1"/>
    <col min="36" max="36" width="3.58203125" customWidth="1"/>
  </cols>
  <sheetData>
    <row r="1" spans="2:35">
      <c r="B1" t="s">
        <v>113</v>
      </c>
      <c r="AA1" t="s">
        <v>105</v>
      </c>
    </row>
    <row r="2" spans="2:35" ht="18.5" thickBot="1">
      <c r="C2" t="s">
        <v>104</v>
      </c>
    </row>
    <row r="3" spans="2:35">
      <c r="D3" t="s">
        <v>55</v>
      </c>
      <c r="O3" t="s">
        <v>106</v>
      </c>
      <c r="AA3" s="34" t="s">
        <v>74</v>
      </c>
      <c r="AB3" s="34"/>
      <c r="AC3" s="35"/>
      <c r="AD3" s="35"/>
      <c r="AE3" s="35"/>
      <c r="AF3" s="35"/>
      <c r="AG3" s="35"/>
      <c r="AH3" s="35"/>
      <c r="AI3" s="35"/>
    </row>
    <row r="4" spans="2:35">
      <c r="E4" s="2" t="s">
        <v>103</v>
      </c>
      <c r="P4" t="s">
        <v>107</v>
      </c>
      <c r="AA4" s="35" t="s">
        <v>75</v>
      </c>
      <c r="AB4" s="38">
        <v>0.94890214031030518</v>
      </c>
      <c r="AC4" s="35"/>
      <c r="AD4" s="35"/>
      <c r="AE4" s="35"/>
      <c r="AF4" s="35"/>
      <c r="AG4" s="35"/>
      <c r="AH4" s="35"/>
      <c r="AI4" s="35"/>
    </row>
    <row r="5" spans="2:35">
      <c r="D5" t="s">
        <v>56</v>
      </c>
      <c r="P5" t="s">
        <v>108</v>
      </c>
      <c r="AA5" s="35" t="s">
        <v>76</v>
      </c>
      <c r="AB5" s="38">
        <v>0.90041527188547799</v>
      </c>
      <c r="AC5" s="35"/>
      <c r="AD5" s="35"/>
      <c r="AE5" s="35"/>
      <c r="AF5" s="35"/>
      <c r="AG5" s="35"/>
      <c r="AH5" s="35"/>
      <c r="AI5" s="35"/>
    </row>
    <row r="6" spans="2:35" s="17" customFormat="1">
      <c r="D6" s="26" t="s">
        <v>57</v>
      </c>
      <c r="O6"/>
      <c r="P6" s="2" t="s">
        <v>109</v>
      </c>
      <c r="Q6"/>
      <c r="R6"/>
      <c r="S6"/>
      <c r="T6"/>
      <c r="U6"/>
      <c r="V6"/>
      <c r="W6"/>
      <c r="X6"/>
      <c r="AA6" s="35" t="s">
        <v>77</v>
      </c>
      <c r="AB6" s="38">
        <v>0.89567314197526271</v>
      </c>
      <c r="AC6" s="35"/>
      <c r="AD6" s="35"/>
      <c r="AE6" s="35"/>
      <c r="AF6" s="35"/>
      <c r="AG6" s="35"/>
      <c r="AH6" s="35"/>
      <c r="AI6" s="35"/>
    </row>
    <row r="7" spans="2:35">
      <c r="P7" t="s">
        <v>110</v>
      </c>
      <c r="AA7" s="35" t="s">
        <v>78</v>
      </c>
      <c r="AB7" s="38">
        <v>335.78308886287982</v>
      </c>
      <c r="AC7" s="35"/>
      <c r="AD7" s="35"/>
      <c r="AE7" s="35"/>
      <c r="AF7" s="35"/>
      <c r="AG7" s="35"/>
      <c r="AH7" s="35"/>
      <c r="AI7" s="35"/>
    </row>
    <row r="8" spans="2:35" ht="18.5" thickBot="1">
      <c r="O8" t="s">
        <v>58</v>
      </c>
      <c r="AA8" s="36" t="s">
        <v>79</v>
      </c>
      <c r="AB8" s="39">
        <v>23</v>
      </c>
      <c r="AC8" s="35"/>
      <c r="AD8" s="35"/>
      <c r="AE8" s="35"/>
      <c r="AF8" s="35"/>
      <c r="AG8" s="35"/>
      <c r="AH8" s="35"/>
      <c r="AI8" s="35"/>
    </row>
    <row r="9" spans="2:35" ht="18.5" thickBot="1">
      <c r="D9" s="33" t="s">
        <v>74</v>
      </c>
      <c r="E9" s="33"/>
      <c r="P9" s="2" t="s">
        <v>111</v>
      </c>
      <c r="AA9" s="35"/>
      <c r="AB9" s="35"/>
      <c r="AC9" s="35"/>
      <c r="AD9" s="35"/>
      <c r="AE9" s="35"/>
      <c r="AF9" s="35"/>
      <c r="AG9" s="35"/>
      <c r="AH9" s="35"/>
      <c r="AI9" s="35"/>
    </row>
    <row r="10" spans="2:35">
      <c r="D10" t="s">
        <v>75</v>
      </c>
      <c r="E10">
        <v>0.94890214031030518</v>
      </c>
      <c r="P10" t="s">
        <v>112</v>
      </c>
      <c r="AA10" s="37"/>
      <c r="AB10" s="37" t="s">
        <v>90</v>
      </c>
      <c r="AC10" s="37" t="s">
        <v>78</v>
      </c>
      <c r="AD10" s="37" t="s">
        <v>91</v>
      </c>
      <c r="AE10" s="37" t="s">
        <v>92</v>
      </c>
      <c r="AF10" s="37" t="s">
        <v>93</v>
      </c>
      <c r="AG10" s="37" t="s">
        <v>94</v>
      </c>
      <c r="AH10" s="37" t="s">
        <v>95</v>
      </c>
      <c r="AI10" s="37" t="s">
        <v>96</v>
      </c>
    </row>
    <row r="11" spans="2:35">
      <c r="D11" t="s">
        <v>76</v>
      </c>
      <c r="E11">
        <v>0.90041527188547799</v>
      </c>
      <c r="P11" t="s">
        <v>59</v>
      </c>
      <c r="AA11" s="35" t="s">
        <v>84</v>
      </c>
      <c r="AB11" s="38">
        <v>-400.81174984207223</v>
      </c>
      <c r="AC11" s="38">
        <v>148.23335786848673</v>
      </c>
      <c r="AD11" s="38">
        <v>-2.7039241072692568</v>
      </c>
      <c r="AE11" s="38">
        <v>1.3293691565175398E-2</v>
      </c>
      <c r="AF11" s="38">
        <v>-709.07989311585004</v>
      </c>
      <c r="AG11" s="38">
        <v>-92.543606568294422</v>
      </c>
      <c r="AH11" s="38">
        <v>-709.07989311585004</v>
      </c>
      <c r="AI11" s="38">
        <v>-92.543606568294422</v>
      </c>
    </row>
    <row r="12" spans="2:35" ht="18.5" thickBot="1">
      <c r="D12" t="s">
        <v>77</v>
      </c>
      <c r="E12" s="27">
        <v>0.89567314197526271</v>
      </c>
      <c r="P12" t="s">
        <v>60</v>
      </c>
      <c r="AA12" s="36" t="s">
        <v>98</v>
      </c>
      <c r="AB12" s="39">
        <v>78.873657612128881</v>
      </c>
      <c r="AC12" s="39">
        <v>5.7239690690140872</v>
      </c>
      <c r="AD12" s="39">
        <v>13.779539452632701</v>
      </c>
      <c r="AE12" s="39">
        <v>5.462588007633945E-12</v>
      </c>
      <c r="AF12" s="39">
        <v>66.970012289414171</v>
      </c>
      <c r="AG12" s="39">
        <v>90.77730293484359</v>
      </c>
      <c r="AH12" s="39">
        <v>66.970012289414171</v>
      </c>
      <c r="AI12" s="39">
        <v>90.77730293484359</v>
      </c>
    </row>
    <row r="13" spans="2:35">
      <c r="D13" t="s">
        <v>78</v>
      </c>
      <c r="E13">
        <v>335.78308886287982</v>
      </c>
    </row>
    <row r="14" spans="2:35" ht="18.5" thickBot="1">
      <c r="D14" s="31" t="s">
        <v>79</v>
      </c>
      <c r="E14" s="31">
        <v>23</v>
      </c>
    </row>
    <row r="16" spans="2:35" ht="18.5" thickBot="1">
      <c r="D16" t="s">
        <v>80</v>
      </c>
    </row>
    <row r="17" spans="4:12">
      <c r="D17" s="32"/>
      <c r="E17" s="32" t="s">
        <v>85</v>
      </c>
      <c r="F17" s="32" t="s">
        <v>86</v>
      </c>
      <c r="G17" s="32" t="s">
        <v>87</v>
      </c>
      <c r="H17" s="32" t="s">
        <v>88</v>
      </c>
      <c r="I17" s="32" t="s">
        <v>89</v>
      </c>
    </row>
    <row r="18" spans="4:12">
      <c r="D18" t="s">
        <v>81</v>
      </c>
      <c r="E18">
        <v>1</v>
      </c>
      <c r="F18">
        <v>21408539.714081682</v>
      </c>
      <c r="G18">
        <v>21408539.714081682</v>
      </c>
      <c r="H18">
        <v>189.8757075266611</v>
      </c>
      <c r="I18">
        <v>5.462588007633945E-12</v>
      </c>
    </row>
    <row r="19" spans="4:12">
      <c r="D19" t="s">
        <v>82</v>
      </c>
      <c r="E19">
        <v>21</v>
      </c>
      <c r="F19">
        <v>2367755.9380922299</v>
      </c>
      <c r="G19">
        <v>112750.28276629666</v>
      </c>
    </row>
    <row r="20" spans="4:12" ht="18.5" thickBot="1">
      <c r="D20" s="31" t="s">
        <v>83</v>
      </c>
      <c r="E20" s="31">
        <v>22</v>
      </c>
      <c r="F20" s="31">
        <v>23776295.652173914</v>
      </c>
      <c r="G20" s="31"/>
      <c r="H20" s="31"/>
      <c r="I20" s="31"/>
    </row>
    <row r="21" spans="4:12" ht="18.5" thickBot="1"/>
    <row r="22" spans="4:12">
      <c r="D22" s="32"/>
      <c r="E22" s="32" t="s">
        <v>90</v>
      </c>
      <c r="F22" s="32" t="s">
        <v>78</v>
      </c>
      <c r="G22" s="32" t="s">
        <v>91</v>
      </c>
      <c r="H22" s="32" t="s">
        <v>92</v>
      </c>
      <c r="I22" s="32" t="s">
        <v>93</v>
      </c>
      <c r="J22" s="32" t="s">
        <v>94</v>
      </c>
      <c r="K22" s="32" t="s">
        <v>95</v>
      </c>
      <c r="L22" s="32" t="s">
        <v>96</v>
      </c>
    </row>
    <row r="23" spans="4:12">
      <c r="D23" t="s">
        <v>84</v>
      </c>
      <c r="E23" s="27">
        <v>-400.81174984207223</v>
      </c>
      <c r="F23">
        <v>148.23335786848673</v>
      </c>
      <c r="G23">
        <v>-2.7039241072692568</v>
      </c>
      <c r="H23">
        <v>1.3293691565175398E-2</v>
      </c>
      <c r="I23">
        <v>-709.07989311585004</v>
      </c>
      <c r="J23">
        <v>-92.543606568294422</v>
      </c>
      <c r="K23">
        <v>-709.07989311585004</v>
      </c>
      <c r="L23">
        <v>-92.543606568294422</v>
      </c>
    </row>
    <row r="24" spans="4:12" ht="18.5" thickBot="1">
      <c r="D24" s="31" t="s">
        <v>98</v>
      </c>
      <c r="E24" s="40">
        <v>78.873657612128881</v>
      </c>
      <c r="F24" s="31">
        <v>5.7239690690140872</v>
      </c>
      <c r="G24" s="31">
        <v>13.779539452632701</v>
      </c>
      <c r="H24" s="31">
        <v>5.462588007633945E-12</v>
      </c>
      <c r="I24" s="31">
        <v>66.970012289414171</v>
      </c>
      <c r="J24" s="31">
        <v>90.77730293484359</v>
      </c>
      <c r="K24" s="31">
        <v>66.970012289414171</v>
      </c>
      <c r="L24" s="31">
        <v>90.77730293484359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151D-E135-4E2A-B0F4-3E67C8ED98C8}">
  <dimension ref="B2:AM28"/>
  <sheetViews>
    <sheetView topLeftCell="C1" zoomScale="50" zoomScaleNormal="50" workbookViewId="0">
      <selection activeCell="S3" sqref="S3:AA23"/>
    </sheetView>
  </sheetViews>
  <sheetFormatPr defaultRowHeight="18"/>
  <cols>
    <col min="8" max="8" width="3.58203125" customWidth="1"/>
    <col min="18" max="18" width="3.58203125" customWidth="1"/>
    <col min="28" max="28" width="3.58203125" customWidth="1"/>
    <col min="38" max="38" width="3.58203125" customWidth="1"/>
  </cols>
  <sheetData>
    <row r="2" spans="2:39">
      <c r="B2" t="s">
        <v>61</v>
      </c>
    </row>
    <row r="3" spans="2:39">
      <c r="C3" t="s">
        <v>70</v>
      </c>
      <c r="I3" t="s">
        <v>97</v>
      </c>
      <c r="S3" t="s">
        <v>99</v>
      </c>
      <c r="AC3" t="s">
        <v>101</v>
      </c>
      <c r="AM3" t="s">
        <v>102</v>
      </c>
    </row>
    <row r="4" spans="2:39">
      <c r="C4" t="s">
        <v>65</v>
      </c>
      <c r="D4" t="s">
        <v>66</v>
      </c>
      <c r="E4" t="s">
        <v>67</v>
      </c>
      <c r="F4" t="s">
        <v>68</v>
      </c>
    </row>
    <row r="5" spans="2:39">
      <c r="B5" t="s">
        <v>69</v>
      </c>
      <c r="C5" t="s">
        <v>62</v>
      </c>
      <c r="D5" t="s">
        <v>72</v>
      </c>
      <c r="E5" t="s">
        <v>63</v>
      </c>
      <c r="F5" t="s">
        <v>64</v>
      </c>
      <c r="I5" t="s">
        <v>73</v>
      </c>
      <c r="S5" t="s">
        <v>73</v>
      </c>
      <c r="AC5" t="s">
        <v>73</v>
      </c>
    </row>
    <row r="6" spans="2:39" ht="18.5" thickBot="1">
      <c r="B6">
        <v>1</v>
      </c>
      <c r="C6">
        <v>650</v>
      </c>
      <c r="D6">
        <v>6</v>
      </c>
      <c r="E6">
        <v>15</v>
      </c>
      <c r="F6">
        <v>24</v>
      </c>
    </row>
    <row r="7" spans="2:39">
      <c r="B7">
        <f>B6+1</f>
        <v>2</v>
      </c>
      <c r="C7">
        <v>1400</v>
      </c>
      <c r="D7">
        <v>2</v>
      </c>
      <c r="E7">
        <v>20</v>
      </c>
      <c r="F7">
        <v>10</v>
      </c>
      <c r="I7" s="33" t="s">
        <v>74</v>
      </c>
      <c r="J7" s="33"/>
      <c r="S7" s="33" t="s">
        <v>74</v>
      </c>
      <c r="T7" s="33"/>
      <c r="AC7" s="33" t="s">
        <v>74</v>
      </c>
      <c r="AD7" s="33"/>
    </row>
    <row r="8" spans="2:39">
      <c r="B8">
        <f t="shared" ref="B8:B28" si="0">B7+1</f>
        <v>3</v>
      </c>
      <c r="C8">
        <v>750</v>
      </c>
      <c r="D8">
        <v>4</v>
      </c>
      <c r="E8">
        <v>15</v>
      </c>
      <c r="F8">
        <v>26</v>
      </c>
      <c r="I8" t="s">
        <v>75</v>
      </c>
      <c r="J8">
        <v>4.6223513450917235E-2</v>
      </c>
      <c r="S8" t="s">
        <v>75</v>
      </c>
      <c r="T8">
        <v>0.94890214031030518</v>
      </c>
      <c r="AC8" t="s">
        <v>75</v>
      </c>
      <c r="AD8">
        <v>0.53011126017960331</v>
      </c>
    </row>
    <row r="9" spans="2:39">
      <c r="B9">
        <f t="shared" si="0"/>
        <v>4</v>
      </c>
      <c r="C9">
        <v>1200</v>
      </c>
      <c r="D9">
        <v>8</v>
      </c>
      <c r="E9">
        <v>25</v>
      </c>
      <c r="F9">
        <v>15</v>
      </c>
      <c r="I9" t="s">
        <v>76</v>
      </c>
      <c r="J9">
        <v>2.1366131957471263E-3</v>
      </c>
      <c r="S9" t="s">
        <v>76</v>
      </c>
      <c r="T9">
        <v>0.90041527188547799</v>
      </c>
      <c r="AC9" t="s">
        <v>76</v>
      </c>
      <c r="AD9">
        <v>0.28101794816920711</v>
      </c>
    </row>
    <row r="10" spans="2:39">
      <c r="B10">
        <f t="shared" si="0"/>
        <v>5</v>
      </c>
      <c r="C10">
        <v>750</v>
      </c>
      <c r="D10">
        <v>4</v>
      </c>
      <c r="E10">
        <v>20</v>
      </c>
      <c r="F10">
        <v>29</v>
      </c>
      <c r="I10" t="s">
        <v>77</v>
      </c>
      <c r="J10">
        <v>-4.5380690937788723E-2</v>
      </c>
      <c r="S10" t="s">
        <v>77</v>
      </c>
      <c r="T10">
        <v>0.89567314197526271</v>
      </c>
      <c r="AC10" t="s">
        <v>77</v>
      </c>
      <c r="AD10">
        <v>0.24678070760583604</v>
      </c>
    </row>
    <row r="11" spans="2:39">
      <c r="B11">
        <f t="shared" si="0"/>
        <v>6</v>
      </c>
      <c r="C11">
        <v>950</v>
      </c>
      <c r="D11">
        <v>2</v>
      </c>
      <c r="E11">
        <v>20</v>
      </c>
      <c r="F11">
        <v>26</v>
      </c>
      <c r="I11" t="s">
        <v>78</v>
      </c>
      <c r="J11">
        <v>1062.9136708468916</v>
      </c>
      <c r="S11" t="s">
        <v>78</v>
      </c>
      <c r="T11">
        <v>335.78308886287982</v>
      </c>
      <c r="AC11" t="s">
        <v>78</v>
      </c>
      <c r="AD11">
        <v>902.23874553762789</v>
      </c>
    </row>
    <row r="12" spans="2:39" ht="18.5" thickBot="1">
      <c r="B12">
        <f t="shared" si="0"/>
        <v>7</v>
      </c>
      <c r="C12">
        <v>1100</v>
      </c>
      <c r="D12">
        <v>9</v>
      </c>
      <c r="E12">
        <v>20</v>
      </c>
      <c r="F12">
        <v>10</v>
      </c>
      <c r="I12" s="31" t="s">
        <v>79</v>
      </c>
      <c r="J12" s="31">
        <v>23</v>
      </c>
      <c r="S12" s="31" t="s">
        <v>79</v>
      </c>
      <c r="T12" s="31">
        <v>23</v>
      </c>
      <c r="AC12" s="31" t="s">
        <v>79</v>
      </c>
      <c r="AD12" s="31">
        <v>23</v>
      </c>
    </row>
    <row r="13" spans="2:39">
      <c r="B13">
        <f t="shared" si="0"/>
        <v>8</v>
      </c>
      <c r="C13">
        <v>870</v>
      </c>
      <c r="D13">
        <v>1</v>
      </c>
      <c r="E13">
        <v>15</v>
      </c>
      <c r="F13">
        <v>28</v>
      </c>
    </row>
    <row r="14" spans="2:39" ht="18.5" thickBot="1">
      <c r="B14">
        <f t="shared" si="0"/>
        <v>9</v>
      </c>
      <c r="C14">
        <v>1900</v>
      </c>
      <c r="D14">
        <v>4</v>
      </c>
      <c r="E14">
        <v>20</v>
      </c>
      <c r="F14">
        <v>11</v>
      </c>
      <c r="I14" t="s">
        <v>80</v>
      </c>
      <c r="S14" t="s">
        <v>80</v>
      </c>
      <c r="AC14" t="s">
        <v>80</v>
      </c>
    </row>
    <row r="15" spans="2:39">
      <c r="B15">
        <f t="shared" si="0"/>
        <v>10</v>
      </c>
      <c r="C15">
        <v>1600</v>
      </c>
      <c r="D15">
        <v>9</v>
      </c>
      <c r="E15">
        <v>20</v>
      </c>
      <c r="F15">
        <v>13</v>
      </c>
      <c r="I15" s="32"/>
      <c r="J15" s="32" t="s">
        <v>85</v>
      </c>
      <c r="K15" s="32" t="s">
        <v>86</v>
      </c>
      <c r="L15" s="32" t="s">
        <v>87</v>
      </c>
      <c r="M15" s="32" t="s">
        <v>88</v>
      </c>
      <c r="N15" s="32" t="s">
        <v>89</v>
      </c>
      <c r="S15" s="32"/>
      <c r="T15" s="32" t="s">
        <v>85</v>
      </c>
      <c r="U15" s="32" t="s">
        <v>86</v>
      </c>
      <c r="V15" s="32" t="s">
        <v>87</v>
      </c>
      <c r="W15" s="32" t="s">
        <v>88</v>
      </c>
      <c r="X15" s="32" t="s">
        <v>89</v>
      </c>
      <c r="AC15" s="32"/>
      <c r="AD15" s="32" t="s">
        <v>85</v>
      </c>
      <c r="AE15" s="32" t="s">
        <v>86</v>
      </c>
      <c r="AF15" s="32" t="s">
        <v>87</v>
      </c>
      <c r="AG15" s="32" t="s">
        <v>88</v>
      </c>
      <c r="AH15" s="32" t="s">
        <v>89</v>
      </c>
    </row>
    <row r="16" spans="2:39">
      <c r="B16">
        <f t="shared" si="0"/>
        <v>11</v>
      </c>
      <c r="C16">
        <v>700</v>
      </c>
      <c r="D16">
        <v>10</v>
      </c>
      <c r="E16">
        <v>15</v>
      </c>
      <c r="F16">
        <v>28</v>
      </c>
      <c r="I16" t="s">
        <v>81</v>
      </c>
      <c r="J16">
        <v>1</v>
      </c>
      <c r="K16">
        <v>50800.747036419809</v>
      </c>
      <c r="L16">
        <v>50800.747036419809</v>
      </c>
      <c r="M16">
        <v>4.496494981581222E-2</v>
      </c>
      <c r="N16">
        <v>0.83411309731147154</v>
      </c>
      <c r="S16" t="s">
        <v>81</v>
      </c>
      <c r="T16">
        <v>1</v>
      </c>
      <c r="U16">
        <v>21408539.714081682</v>
      </c>
      <c r="V16">
        <v>21408539.714081682</v>
      </c>
      <c r="W16">
        <v>189.8757075266611</v>
      </c>
      <c r="X16">
        <v>5.462588007633945E-12</v>
      </c>
      <c r="AC16" t="s">
        <v>81</v>
      </c>
      <c r="AD16">
        <v>1</v>
      </c>
      <c r="AE16">
        <v>6681565.8192383535</v>
      </c>
      <c r="AF16">
        <v>6681565.8192383535</v>
      </c>
      <c r="AG16">
        <v>8.2079613761237464</v>
      </c>
      <c r="AH16">
        <v>9.2709669774220724E-3</v>
      </c>
    </row>
    <row r="17" spans="2:37">
      <c r="B17">
        <f t="shared" si="0"/>
        <v>12</v>
      </c>
      <c r="C17">
        <v>1700</v>
      </c>
      <c r="D17">
        <v>6</v>
      </c>
      <c r="E17">
        <v>20</v>
      </c>
      <c r="F17">
        <v>12</v>
      </c>
      <c r="I17" t="s">
        <v>82</v>
      </c>
      <c r="J17">
        <v>21</v>
      </c>
      <c r="K17">
        <v>23725494.905137494</v>
      </c>
      <c r="L17">
        <v>1129785.4716732141</v>
      </c>
      <c r="S17" t="s">
        <v>82</v>
      </c>
      <c r="T17">
        <v>21</v>
      </c>
      <c r="U17">
        <v>2367755.9380922299</v>
      </c>
      <c r="V17">
        <v>112750.28276629666</v>
      </c>
      <c r="AC17" t="s">
        <v>82</v>
      </c>
      <c r="AD17">
        <v>21</v>
      </c>
      <c r="AE17">
        <v>17094729.83293556</v>
      </c>
      <c r="AF17">
        <v>814034.75394931238</v>
      </c>
    </row>
    <row r="18" spans="2:37" ht="18.5" thickBot="1">
      <c r="B18">
        <f t="shared" si="0"/>
        <v>13</v>
      </c>
      <c r="C18">
        <v>1200</v>
      </c>
      <c r="D18">
        <v>6</v>
      </c>
      <c r="E18">
        <v>25</v>
      </c>
      <c r="F18">
        <v>12</v>
      </c>
      <c r="I18" s="31" t="s">
        <v>83</v>
      </c>
      <c r="J18" s="31">
        <v>22</v>
      </c>
      <c r="K18" s="31">
        <v>23776295.652173914</v>
      </c>
      <c r="L18" s="31"/>
      <c r="M18" s="31"/>
      <c r="N18" s="31"/>
      <c r="S18" s="31" t="s">
        <v>83</v>
      </c>
      <c r="T18" s="31">
        <v>22</v>
      </c>
      <c r="U18" s="31">
        <v>23776295.652173914</v>
      </c>
      <c r="V18" s="31"/>
      <c r="W18" s="31"/>
      <c r="X18" s="31"/>
      <c r="AC18" s="31" t="s">
        <v>83</v>
      </c>
      <c r="AD18" s="31">
        <v>22</v>
      </c>
      <c r="AE18" s="31">
        <v>23776295.652173914</v>
      </c>
      <c r="AF18" s="31"/>
      <c r="AG18" s="31"/>
      <c r="AH18" s="31"/>
    </row>
    <row r="19" spans="2:37" ht="18.5" thickBot="1">
      <c r="B19">
        <f t="shared" si="0"/>
        <v>14</v>
      </c>
      <c r="C19">
        <v>1700</v>
      </c>
      <c r="D19">
        <v>6</v>
      </c>
      <c r="E19">
        <v>25</v>
      </c>
      <c r="F19">
        <v>12</v>
      </c>
    </row>
    <row r="20" spans="2:37">
      <c r="B20">
        <f t="shared" si="0"/>
        <v>15</v>
      </c>
      <c r="C20">
        <v>1000</v>
      </c>
      <c r="D20">
        <v>13</v>
      </c>
      <c r="E20">
        <v>20</v>
      </c>
      <c r="F20">
        <v>7</v>
      </c>
      <c r="I20" s="32"/>
      <c r="J20" s="32" t="s">
        <v>90</v>
      </c>
      <c r="K20" s="32" t="s">
        <v>78</v>
      </c>
      <c r="L20" s="32" t="s">
        <v>91</v>
      </c>
      <c r="M20" s="32" t="s">
        <v>92</v>
      </c>
      <c r="N20" s="32" t="s">
        <v>93</v>
      </c>
      <c r="O20" s="32" t="s">
        <v>94</v>
      </c>
      <c r="P20" s="32" t="s">
        <v>95</v>
      </c>
      <c r="Q20" s="32" t="s">
        <v>96</v>
      </c>
      <c r="S20" s="32"/>
      <c r="T20" s="32" t="s">
        <v>90</v>
      </c>
      <c r="U20" s="32" t="s">
        <v>78</v>
      </c>
      <c r="V20" s="32" t="s">
        <v>91</v>
      </c>
      <c r="W20" s="32" t="s">
        <v>92</v>
      </c>
      <c r="X20" s="32" t="s">
        <v>93</v>
      </c>
      <c r="Y20" s="32" t="s">
        <v>94</v>
      </c>
      <c r="Z20" s="32" t="s">
        <v>95</v>
      </c>
      <c r="AA20" s="32" t="s">
        <v>96</v>
      </c>
      <c r="AC20" s="32"/>
      <c r="AD20" s="32" t="s">
        <v>90</v>
      </c>
      <c r="AE20" s="32" t="s">
        <v>78</v>
      </c>
      <c r="AF20" s="32" t="s">
        <v>91</v>
      </c>
      <c r="AG20" s="32" t="s">
        <v>92</v>
      </c>
      <c r="AH20" s="32" t="s">
        <v>93</v>
      </c>
      <c r="AI20" s="32" t="s">
        <v>94</v>
      </c>
      <c r="AJ20" s="32" t="s">
        <v>95</v>
      </c>
      <c r="AK20" s="32" t="s">
        <v>96</v>
      </c>
    </row>
    <row r="21" spans="2:37">
      <c r="B21">
        <f t="shared" si="0"/>
        <v>16</v>
      </c>
      <c r="C21">
        <v>3400</v>
      </c>
      <c r="D21">
        <v>15</v>
      </c>
      <c r="E21">
        <v>50</v>
      </c>
      <c r="F21">
        <v>6</v>
      </c>
      <c r="I21" t="s">
        <v>84</v>
      </c>
      <c r="J21">
        <v>1475.2568748667663</v>
      </c>
      <c r="K21">
        <v>420.16247599287016</v>
      </c>
      <c r="L21">
        <v>3.5111580856444693</v>
      </c>
      <c r="M21">
        <v>2.0769521275741639E-3</v>
      </c>
      <c r="N21">
        <v>601.4811727569321</v>
      </c>
      <c r="O21">
        <v>2349.0325769766005</v>
      </c>
      <c r="P21">
        <v>601.4811727569321</v>
      </c>
      <c r="Q21">
        <v>2349.0325769766005</v>
      </c>
      <c r="S21" t="s">
        <v>84</v>
      </c>
      <c r="T21">
        <v>-400.81174984207223</v>
      </c>
      <c r="U21">
        <v>148.23335786848673</v>
      </c>
      <c r="V21">
        <v>-2.7039241072692568</v>
      </c>
      <c r="W21">
        <v>1.3293691565175398E-2</v>
      </c>
      <c r="X21">
        <v>-709.07989311585004</v>
      </c>
      <c r="Y21">
        <v>-92.543606568294422</v>
      </c>
      <c r="Z21">
        <v>-709.07989311585004</v>
      </c>
      <c r="AA21">
        <v>-92.543606568294422</v>
      </c>
      <c r="AC21" t="s">
        <v>84</v>
      </c>
      <c r="AD21">
        <v>2643.9260143198085</v>
      </c>
      <c r="AE21">
        <v>473.33185436118134</v>
      </c>
      <c r="AF21">
        <v>5.585776638439234</v>
      </c>
      <c r="AG21">
        <v>1.524562529928487E-5</v>
      </c>
      <c r="AH21">
        <v>1659.5785368396698</v>
      </c>
      <c r="AI21">
        <v>3628.2734917999469</v>
      </c>
      <c r="AJ21">
        <v>1659.5785368396698</v>
      </c>
      <c r="AK21">
        <v>3628.2734917999469</v>
      </c>
    </row>
    <row r="22" spans="2:37" ht="18.5" thickBot="1">
      <c r="B22">
        <f t="shared" si="0"/>
        <v>17</v>
      </c>
      <c r="C22">
        <v>550</v>
      </c>
      <c r="D22">
        <v>16</v>
      </c>
      <c r="E22">
        <v>20</v>
      </c>
      <c r="F22">
        <v>21</v>
      </c>
      <c r="I22" s="31" t="s">
        <v>71</v>
      </c>
      <c r="J22" s="31">
        <v>-11.159667448305294</v>
      </c>
      <c r="K22" s="31">
        <v>52.627676513041735</v>
      </c>
      <c r="L22" s="31">
        <v>-0.21204940418640375</v>
      </c>
      <c r="M22" s="31">
        <v>0.83411309731147776</v>
      </c>
      <c r="N22" s="31">
        <v>-120.60491214067665</v>
      </c>
      <c r="O22" s="31">
        <v>98.285577244066047</v>
      </c>
      <c r="P22" s="31">
        <v>-120.60491214067665</v>
      </c>
      <c r="Q22" s="31">
        <v>98.285577244066047</v>
      </c>
      <c r="S22" s="31" t="s">
        <v>98</v>
      </c>
      <c r="T22" s="31">
        <v>78.873657612128881</v>
      </c>
      <c r="U22" s="31">
        <v>5.7239690690140872</v>
      </c>
      <c r="V22" s="31">
        <v>13.779539452632701</v>
      </c>
      <c r="W22" s="31">
        <v>5.462588007633945E-12</v>
      </c>
      <c r="X22" s="31">
        <v>66.970012289414171</v>
      </c>
      <c r="Y22" s="31">
        <v>90.77730293484359</v>
      </c>
      <c r="Z22" s="31">
        <v>66.970012289414171</v>
      </c>
      <c r="AA22" s="31">
        <v>90.77730293484359</v>
      </c>
      <c r="AC22" s="31" t="s">
        <v>100</v>
      </c>
      <c r="AD22" s="31">
        <v>-71.372315035799488</v>
      </c>
      <c r="AE22" s="31">
        <v>24.91220286111481</v>
      </c>
      <c r="AF22" s="31">
        <v>-2.864953991973298</v>
      </c>
      <c r="AG22" s="31">
        <v>9.2709669774221244E-3</v>
      </c>
      <c r="AH22" s="31">
        <v>-123.18007700843836</v>
      </c>
      <c r="AI22" s="31">
        <v>-19.564553063160609</v>
      </c>
      <c r="AJ22" s="31">
        <v>-123.18007700843836</v>
      </c>
      <c r="AK22" s="31">
        <v>-19.564553063160609</v>
      </c>
    </row>
    <row r="23" spans="2:37">
      <c r="B23">
        <f t="shared" si="0"/>
        <v>18</v>
      </c>
      <c r="C23">
        <v>1100</v>
      </c>
      <c r="D23">
        <v>11</v>
      </c>
      <c r="E23">
        <v>20</v>
      </c>
      <c r="F23">
        <v>15</v>
      </c>
    </row>
    <row r="24" spans="2:37">
      <c r="B24">
        <f t="shared" si="0"/>
        <v>19</v>
      </c>
      <c r="C24">
        <v>850</v>
      </c>
      <c r="D24">
        <v>3</v>
      </c>
      <c r="E24">
        <v>15</v>
      </c>
      <c r="F24">
        <v>25</v>
      </c>
    </row>
    <row r="25" spans="2:37">
      <c r="B25">
        <f t="shared" si="0"/>
        <v>20</v>
      </c>
      <c r="C25">
        <v>920</v>
      </c>
      <c r="D25">
        <v>3</v>
      </c>
      <c r="E25">
        <v>20</v>
      </c>
      <c r="F25">
        <v>25</v>
      </c>
    </row>
    <row r="26" spans="2:37">
      <c r="B26">
        <f t="shared" si="0"/>
        <v>21</v>
      </c>
      <c r="C26">
        <v>1400</v>
      </c>
      <c r="D26">
        <v>11</v>
      </c>
      <c r="E26">
        <v>20</v>
      </c>
      <c r="F26">
        <v>11</v>
      </c>
    </row>
    <row r="27" spans="2:37">
      <c r="B27">
        <f t="shared" si="0"/>
        <v>22</v>
      </c>
      <c r="C27">
        <v>1200</v>
      </c>
      <c r="D27">
        <v>5</v>
      </c>
      <c r="E27">
        <v>15</v>
      </c>
      <c r="F27">
        <v>24</v>
      </c>
    </row>
    <row r="28" spans="2:37">
      <c r="B28">
        <f t="shared" si="0"/>
        <v>23</v>
      </c>
      <c r="C28">
        <v>5300</v>
      </c>
      <c r="D28">
        <v>2</v>
      </c>
      <c r="E28">
        <v>70</v>
      </c>
      <c r="F28">
        <v>11</v>
      </c>
    </row>
  </sheetData>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6174-FC37-4D86-AB75-0CE3BC9E5C75}">
  <dimension ref="B1:I16"/>
  <sheetViews>
    <sheetView tabSelected="1" workbookViewId="0">
      <selection activeCell="G11" sqref="G11"/>
    </sheetView>
  </sheetViews>
  <sheetFormatPr defaultRowHeight="18"/>
  <cols>
    <col min="6" max="6" width="12.33203125" style="41" bestFit="1" customWidth="1"/>
    <col min="8" max="8" width="12.33203125" bestFit="1" customWidth="1"/>
  </cols>
  <sheetData>
    <row r="1" spans="2:9">
      <c r="B1" t="s">
        <v>119</v>
      </c>
    </row>
    <row r="2" spans="2:9">
      <c r="B2" t="s">
        <v>120</v>
      </c>
    </row>
    <row r="3" spans="2:9" ht="18.5" thickBot="1"/>
    <row r="4" spans="2:9" ht="18.5" thickTop="1">
      <c r="B4" s="42" t="s">
        <v>121</v>
      </c>
      <c r="C4" s="43" t="s">
        <v>122</v>
      </c>
      <c r="E4" t="s">
        <v>123</v>
      </c>
      <c r="F4" s="44" t="s">
        <v>124</v>
      </c>
      <c r="G4" s="45" t="s">
        <v>125</v>
      </c>
    </row>
    <row r="5" spans="2:9" ht="20.5" thickBot="1">
      <c r="B5" s="46" t="s">
        <v>126</v>
      </c>
      <c r="C5" s="47" t="s">
        <v>127</v>
      </c>
      <c r="F5" s="48" t="s">
        <v>128</v>
      </c>
      <c r="G5" s="49" t="s">
        <v>129</v>
      </c>
    </row>
    <row r="6" spans="2:9" ht="19" thickTop="1" thickBot="1">
      <c r="B6" s="50">
        <v>1</v>
      </c>
      <c r="C6" s="51">
        <v>148</v>
      </c>
    </row>
    <row r="7" spans="2:9" ht="21" thickTop="1" thickBot="1">
      <c r="B7" s="52">
        <v>2</v>
      </c>
      <c r="C7" s="53">
        <v>152</v>
      </c>
      <c r="E7" t="s">
        <v>130</v>
      </c>
      <c r="F7" s="54" t="s">
        <v>131</v>
      </c>
      <c r="G7" s="55">
        <f>ABS(_xlfn.T.INV(0.025,9))</f>
        <v>2.2621571627982053</v>
      </c>
    </row>
    <row r="8" spans="2:9" ht="19" thickTop="1" thickBot="1">
      <c r="B8" s="52">
        <v>3</v>
      </c>
      <c r="C8" s="53">
        <v>151</v>
      </c>
    </row>
    <row r="9" spans="2:9" ht="18.5" thickTop="1">
      <c r="B9" s="52">
        <v>4</v>
      </c>
      <c r="C9" s="53">
        <v>149</v>
      </c>
      <c r="E9" t="s">
        <v>132</v>
      </c>
      <c r="F9" s="44" t="s">
        <v>133</v>
      </c>
      <c r="G9" s="45">
        <f>AVERAGE(C6:C15)</f>
        <v>150.5</v>
      </c>
    </row>
    <row r="10" spans="2:9">
      <c r="B10" s="52">
        <v>5</v>
      </c>
      <c r="C10" s="53">
        <v>153</v>
      </c>
      <c r="F10" s="56" t="s">
        <v>134</v>
      </c>
      <c r="G10" s="57">
        <v>150</v>
      </c>
    </row>
    <row r="11" spans="2:9">
      <c r="B11" s="52">
        <v>6</v>
      </c>
      <c r="C11" s="53">
        <v>150</v>
      </c>
      <c r="F11" s="56" t="s">
        <v>135</v>
      </c>
      <c r="G11" s="69">
        <f>_xlfn.VAR.S(C6:C15)</f>
        <v>5.166666666666667</v>
      </c>
      <c r="H11" t="s">
        <v>136</v>
      </c>
      <c r="I11" s="58">
        <f>SQRT(G11)</f>
        <v>2.2730302828309759</v>
      </c>
    </row>
    <row r="12" spans="2:9" ht="18.5" thickBot="1">
      <c r="B12" s="52">
        <v>7</v>
      </c>
      <c r="C12" s="53">
        <v>147</v>
      </c>
      <c r="F12" s="59" t="s">
        <v>137</v>
      </c>
      <c r="G12" s="60">
        <v>10</v>
      </c>
    </row>
    <row r="13" spans="2:9" ht="18.5" thickTop="1">
      <c r="B13" s="52">
        <v>8</v>
      </c>
      <c r="C13" s="53">
        <v>154</v>
      </c>
      <c r="F13" s="61" t="s">
        <v>138</v>
      </c>
      <c r="G13" s="62">
        <f>G9-G10</f>
        <v>0.5</v>
      </c>
    </row>
    <row r="14" spans="2:9" ht="18.5" thickBot="1">
      <c r="B14" s="52">
        <v>9</v>
      </c>
      <c r="C14" s="53">
        <v>152</v>
      </c>
      <c r="F14" s="63" t="s">
        <v>139</v>
      </c>
      <c r="G14" s="64">
        <f>SQRT(G11/G12)</f>
        <v>0.7187952884282609</v>
      </c>
    </row>
    <row r="15" spans="2:9" ht="19" thickTop="1" thickBot="1">
      <c r="B15" s="65">
        <v>10</v>
      </c>
      <c r="C15" s="66">
        <v>149</v>
      </c>
      <c r="F15" s="67" t="s">
        <v>140</v>
      </c>
      <c r="G15" s="68">
        <f>G13/G14</f>
        <v>0.69560834364025237</v>
      </c>
    </row>
    <row r="16" spans="2:9" ht="18.5" thickTop="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Q1</vt:lpstr>
      <vt:lpstr>Q2</vt:lpstr>
      <vt:lpstr>Q3</vt:lpstr>
      <vt:lpstr>Q4(1)-(2)</vt:lpstr>
      <vt:lpstr>Q4(3)-(5)</vt:lpstr>
      <vt:lpstr>Q5</vt:lpstr>
      <vt:lpstr>Q5_est</vt:lpstr>
      <vt:lpstr>Q6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Ikegawa</dc:creator>
  <cp:lastModifiedBy>須永大介</cp:lastModifiedBy>
  <dcterms:created xsi:type="dcterms:W3CDTF">2023-01-08T02:51:14Z</dcterms:created>
  <dcterms:modified xsi:type="dcterms:W3CDTF">2025-12-30T12:48:22Z</dcterms:modified>
</cp:coreProperties>
</file>