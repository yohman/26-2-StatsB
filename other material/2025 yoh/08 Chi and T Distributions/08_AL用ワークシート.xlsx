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ais\Desktop\"/>
    </mc:Choice>
  </mc:AlternateContent>
  <xr:revisionPtr revIDLastSave="0" documentId="13_ncr:1_{DA684866-215F-45D3-827C-9A4EB04E9FD3}" xr6:coauthVersionLast="47" xr6:coauthVersionMax="47" xr10:uidLastSave="{00000000-0000-0000-0000-000000000000}"/>
  <bookViews>
    <workbookView xWindow="-110" yWindow="-110" windowWidth="19420" windowHeight="10420" xr2:uid="{1619192C-3EDD-4E6D-BBFE-580124EDFFF7}"/>
  </bookViews>
  <sheets>
    <sheet name="標本不偏分散①" sheetId="15" r:id="rId1"/>
    <sheet name="標本不偏分散②" sheetId="18" r:id="rId2"/>
    <sheet name="標準正規分布表" sheetId="20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R41" i="20" l="1"/>
  <c r="Q41" i="20"/>
  <c r="P41" i="20"/>
  <c r="O41" i="20"/>
  <c r="N41" i="20"/>
  <c r="M41" i="20"/>
  <c r="L41" i="20"/>
  <c r="K41" i="20"/>
  <c r="J41" i="20"/>
  <c r="I41" i="20"/>
  <c r="R40" i="20"/>
  <c r="Q40" i="20"/>
  <c r="P40" i="20"/>
  <c r="O40" i="20"/>
  <c r="N40" i="20"/>
  <c r="M40" i="20"/>
  <c r="L40" i="20"/>
  <c r="K40" i="20"/>
  <c r="J40" i="20"/>
  <c r="I40" i="20"/>
  <c r="R39" i="20"/>
  <c r="Q39" i="20"/>
  <c r="P39" i="20"/>
  <c r="O39" i="20"/>
  <c r="N39" i="20"/>
  <c r="M39" i="20"/>
  <c r="L39" i="20"/>
  <c r="K39" i="20"/>
  <c r="J39" i="20"/>
  <c r="I39" i="20"/>
  <c r="R38" i="20"/>
  <c r="Q38" i="20"/>
  <c r="P38" i="20"/>
  <c r="O38" i="20"/>
  <c r="N38" i="20"/>
  <c r="M38" i="20"/>
  <c r="L38" i="20"/>
  <c r="K38" i="20"/>
  <c r="J38" i="20"/>
  <c r="I38" i="20"/>
  <c r="R37" i="20"/>
  <c r="Q37" i="20"/>
  <c r="P37" i="20"/>
  <c r="O37" i="20"/>
  <c r="N37" i="20"/>
  <c r="M37" i="20"/>
  <c r="L37" i="20"/>
  <c r="K37" i="20"/>
  <c r="J37" i="20"/>
  <c r="I37" i="20"/>
  <c r="R35" i="20"/>
  <c r="Q35" i="20"/>
  <c r="P35" i="20"/>
  <c r="O35" i="20"/>
  <c r="N35" i="20"/>
  <c r="M35" i="20"/>
  <c r="L35" i="20"/>
  <c r="K35" i="20"/>
  <c r="J35" i="20"/>
  <c r="I35" i="20"/>
  <c r="R34" i="20"/>
  <c r="Q34" i="20"/>
  <c r="P34" i="20"/>
  <c r="O34" i="20"/>
  <c r="N34" i="20"/>
  <c r="M34" i="20"/>
  <c r="L34" i="20"/>
  <c r="K34" i="20"/>
  <c r="J34" i="20"/>
  <c r="I34" i="20"/>
  <c r="R33" i="20"/>
  <c r="Q33" i="20"/>
  <c r="P33" i="20"/>
  <c r="O33" i="20"/>
  <c r="N33" i="20"/>
  <c r="M33" i="20"/>
  <c r="L33" i="20"/>
  <c r="K33" i="20"/>
  <c r="J33" i="20"/>
  <c r="I33" i="20"/>
  <c r="R32" i="20"/>
  <c r="Q32" i="20"/>
  <c r="P32" i="20"/>
  <c r="O32" i="20"/>
  <c r="N32" i="20"/>
  <c r="M32" i="20"/>
  <c r="L32" i="20"/>
  <c r="K32" i="20"/>
  <c r="J32" i="20"/>
  <c r="I32" i="20"/>
  <c r="R31" i="20"/>
  <c r="Q31" i="20"/>
  <c r="P31" i="20"/>
  <c r="O31" i="20"/>
  <c r="N31" i="20"/>
  <c r="M31" i="20"/>
  <c r="L31" i="20"/>
  <c r="K31" i="20"/>
  <c r="J31" i="20"/>
  <c r="I31" i="20"/>
  <c r="R29" i="20"/>
  <c r="Q29" i="20"/>
  <c r="P29" i="20"/>
  <c r="O29" i="20"/>
  <c r="N29" i="20"/>
  <c r="M29" i="20"/>
  <c r="L29" i="20"/>
  <c r="K29" i="20"/>
  <c r="J29" i="20"/>
  <c r="I29" i="20"/>
  <c r="R28" i="20"/>
  <c r="Q28" i="20"/>
  <c r="P28" i="20"/>
  <c r="O28" i="20"/>
  <c r="N28" i="20"/>
  <c r="M28" i="20"/>
  <c r="L28" i="20"/>
  <c r="K28" i="20"/>
  <c r="J28" i="20"/>
  <c r="I28" i="20"/>
  <c r="R27" i="20"/>
  <c r="Q27" i="20"/>
  <c r="P27" i="20"/>
  <c r="O27" i="20"/>
  <c r="N27" i="20"/>
  <c r="M27" i="20"/>
  <c r="L27" i="20"/>
  <c r="K27" i="20"/>
  <c r="J27" i="20"/>
  <c r="I27" i="20"/>
  <c r="R26" i="20"/>
  <c r="Q26" i="20"/>
  <c r="P26" i="20"/>
  <c r="O26" i="20"/>
  <c r="N26" i="20"/>
  <c r="M26" i="20"/>
  <c r="L26" i="20"/>
  <c r="K26" i="20"/>
  <c r="J26" i="20"/>
  <c r="I26" i="20"/>
  <c r="R25" i="20"/>
  <c r="Q25" i="20"/>
  <c r="P25" i="20"/>
  <c r="O25" i="20"/>
  <c r="N25" i="20"/>
  <c r="M25" i="20"/>
  <c r="L25" i="20"/>
  <c r="K25" i="20"/>
  <c r="J25" i="20"/>
  <c r="I25" i="20"/>
  <c r="R23" i="20"/>
  <c r="Q23" i="20"/>
  <c r="P23" i="20"/>
  <c r="O23" i="20"/>
  <c r="N23" i="20"/>
  <c r="M23" i="20"/>
  <c r="L23" i="20"/>
  <c r="K23" i="20"/>
  <c r="J23" i="20"/>
  <c r="I23" i="20"/>
  <c r="R22" i="20"/>
  <c r="Q22" i="20"/>
  <c r="P22" i="20"/>
  <c r="O22" i="20"/>
  <c r="N22" i="20"/>
  <c r="M22" i="20"/>
  <c r="L22" i="20"/>
  <c r="K22" i="20"/>
  <c r="J22" i="20"/>
  <c r="I22" i="20"/>
  <c r="R21" i="20"/>
  <c r="Q21" i="20"/>
  <c r="P21" i="20"/>
  <c r="O21" i="20"/>
  <c r="N21" i="20"/>
  <c r="M21" i="20"/>
  <c r="L21" i="20"/>
  <c r="K21" i="20"/>
  <c r="J21" i="20"/>
  <c r="I21" i="20"/>
  <c r="R20" i="20"/>
  <c r="Q20" i="20"/>
  <c r="P20" i="20"/>
  <c r="O20" i="20"/>
  <c r="N20" i="20"/>
  <c r="M20" i="20"/>
  <c r="L20" i="20"/>
  <c r="K20" i="20"/>
  <c r="J20" i="20"/>
  <c r="I20" i="20"/>
  <c r="R19" i="20"/>
  <c r="Q19" i="20"/>
  <c r="P19" i="20"/>
  <c r="O19" i="20"/>
  <c r="N19" i="20"/>
  <c r="M19" i="20"/>
  <c r="L19" i="20"/>
  <c r="K19" i="20"/>
  <c r="J19" i="20"/>
  <c r="I19" i="20"/>
  <c r="R17" i="20"/>
  <c r="Q17" i="20"/>
  <c r="P17" i="20"/>
  <c r="O17" i="20"/>
  <c r="N17" i="20"/>
  <c r="M17" i="20"/>
  <c r="L17" i="20"/>
  <c r="K17" i="20"/>
  <c r="J17" i="20"/>
  <c r="I17" i="20"/>
  <c r="R16" i="20"/>
  <c r="Q16" i="20"/>
  <c r="P16" i="20"/>
  <c r="O16" i="20"/>
  <c r="N16" i="20"/>
  <c r="M16" i="20"/>
  <c r="L16" i="20"/>
  <c r="K16" i="20"/>
  <c r="J16" i="20"/>
  <c r="I16" i="20"/>
  <c r="R15" i="20"/>
  <c r="Q15" i="20"/>
  <c r="P15" i="20"/>
  <c r="O15" i="20"/>
  <c r="N15" i="20"/>
  <c r="M15" i="20"/>
  <c r="L15" i="20"/>
  <c r="K15" i="20"/>
  <c r="J15" i="20"/>
  <c r="I15" i="20"/>
  <c r="R14" i="20"/>
  <c r="Q14" i="20"/>
  <c r="P14" i="20"/>
  <c r="O14" i="20"/>
  <c r="N14" i="20"/>
  <c r="M14" i="20"/>
  <c r="L14" i="20"/>
  <c r="K14" i="20"/>
  <c r="J14" i="20"/>
  <c r="I14" i="20"/>
  <c r="R13" i="20"/>
  <c r="Q13" i="20"/>
  <c r="P13" i="20"/>
  <c r="O13" i="20"/>
  <c r="N13" i="20"/>
  <c r="M13" i="20"/>
  <c r="L13" i="20"/>
  <c r="K13" i="20"/>
  <c r="J13" i="20"/>
  <c r="I13" i="20"/>
  <c r="R11" i="20"/>
  <c r="Q11" i="20"/>
  <c r="P11" i="20"/>
  <c r="O11" i="20"/>
  <c r="N11" i="20"/>
  <c r="M11" i="20"/>
  <c r="L11" i="20"/>
  <c r="K11" i="20"/>
  <c r="J11" i="20"/>
  <c r="I11" i="20"/>
  <c r="R10" i="20"/>
  <c r="Q10" i="20"/>
  <c r="P10" i="20"/>
  <c r="O10" i="20"/>
  <c r="N10" i="20"/>
  <c r="M10" i="20"/>
  <c r="L10" i="20"/>
  <c r="K10" i="20"/>
  <c r="J10" i="20"/>
  <c r="I10" i="20"/>
  <c r="R9" i="20"/>
  <c r="Q9" i="20"/>
  <c r="P9" i="20"/>
  <c r="O9" i="20"/>
  <c r="N9" i="20"/>
  <c r="M9" i="20"/>
  <c r="L9" i="20"/>
  <c r="K9" i="20"/>
  <c r="J9" i="20"/>
  <c r="I9" i="20"/>
  <c r="R8" i="20"/>
  <c r="Q8" i="20"/>
  <c r="P8" i="20"/>
  <c r="O8" i="20"/>
  <c r="N8" i="20"/>
  <c r="M8" i="20"/>
  <c r="L8" i="20"/>
  <c r="K8" i="20"/>
  <c r="J8" i="20"/>
  <c r="I8" i="20"/>
  <c r="R7" i="20"/>
  <c r="Q7" i="20"/>
  <c r="P7" i="20"/>
  <c r="O7" i="20"/>
  <c r="N7" i="20"/>
  <c r="M7" i="20"/>
  <c r="L7" i="20"/>
  <c r="K7" i="20"/>
  <c r="J7" i="20"/>
  <c r="I7" i="20"/>
  <c r="R5" i="20"/>
  <c r="Q5" i="20"/>
  <c r="P5" i="20"/>
  <c r="O5" i="20"/>
  <c r="N5" i="20"/>
  <c r="M5" i="20"/>
  <c r="L5" i="20"/>
  <c r="K5" i="20"/>
  <c r="J5" i="20"/>
  <c r="I5" i="20"/>
</calcChain>
</file>

<file path=xl/sharedStrings.xml><?xml version="1.0" encoding="utf-8"?>
<sst xmlns="http://schemas.openxmlformats.org/spreadsheetml/2006/main" count="56" uniqueCount="52">
  <si>
    <t>z</t>
    <phoneticPr fontId="1"/>
  </si>
  <si>
    <t>標準正規分布表</t>
    <rPh sb="0" eb="7">
      <t>ヒョウジュンセイキブンプヒョウ</t>
    </rPh>
    <phoneticPr fontId="1"/>
  </si>
  <si>
    <t>year</t>
  </si>
  <si>
    <t>month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</si>
  <si>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</si>
  <si>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</si>
  <si>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</si>
  <si>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</si>
  <si>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</si>
  <si>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</si>
  <si>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</si>
  <si>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</si>
  <si>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</si>
  <si>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</si>
  <si>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</si>
  <si>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</si>
  <si>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平均気温</t>
    <rPh sb="0" eb="4">
      <t>ヘイキンキオン</t>
    </rPh>
    <phoneticPr fontId="1"/>
  </si>
  <si>
    <t>千葉県の2024年の月別月平均気温（平均気温）の標本不偏分散を求めよ．</t>
    <rPh sb="0" eb="3">
      <t>チバケン</t>
    </rPh>
    <rPh sb="8" eb="9">
      <t>ネン</t>
    </rPh>
    <rPh sb="10" eb="12">
      <t>ツキベツ</t>
    </rPh>
    <rPh sb="12" eb="13">
      <t>ツキ</t>
    </rPh>
    <rPh sb="13" eb="17">
      <t>ヘイキンキオン</t>
    </rPh>
    <rPh sb="18" eb="22">
      <t>ヘイキンキオン</t>
    </rPh>
    <rPh sb="24" eb="30">
      <t>ヒョウホンフヘンブンサン</t>
    </rPh>
    <rPh sb="31" eb="32">
      <t>モト</t>
    </rPh>
    <phoneticPr fontId="1"/>
  </si>
  <si>
    <t>偏差</t>
    <rPh sb="0" eb="2">
      <t>ヘンサ</t>
    </rPh>
    <phoneticPr fontId="1"/>
  </si>
  <si>
    <t>標本平均</t>
    <rPh sb="0" eb="4">
      <t>ヒョウホンヘイキン</t>
    </rPh>
    <phoneticPr fontId="1"/>
  </si>
  <si>
    <t>偏差二乗和</t>
    <rPh sb="0" eb="5">
      <t>ヘンサジジョウワ</t>
    </rPh>
    <phoneticPr fontId="1"/>
  </si>
  <si>
    <t>標本不偏分散</t>
    <rPh sb="0" eb="6">
      <t>ヒョウホンフヘンブンサン</t>
    </rPh>
    <phoneticPr fontId="1"/>
  </si>
  <si>
    <t>偏差二乗</t>
    <rPh sb="0" eb="4">
      <t>ヘンサジジョウ</t>
    </rPh>
    <phoneticPr fontId="1"/>
  </si>
  <si>
    <t>標本分散</t>
    <rPh sb="0" eb="4">
      <t>ヒョウホンブンサン</t>
    </rPh>
    <phoneticPr fontId="1"/>
  </si>
  <si>
    <t>Excel関数で確認</t>
    <rPh sb="5" eb="7">
      <t>カンスウ</t>
    </rPh>
    <rPh sb="8" eb="10">
      <t>カクニン</t>
    </rPh>
    <phoneticPr fontId="1"/>
  </si>
  <si>
    <t>千葉県の1975年の月別月平均気温（平均気温）の標本平均，標本分散から，標本不偏分散を求めよ．</t>
    <rPh sb="0" eb="3">
      <t>チバケン</t>
    </rPh>
    <rPh sb="8" eb="9">
      <t>ネン</t>
    </rPh>
    <rPh sb="10" eb="12">
      <t>ツキベツ</t>
    </rPh>
    <rPh sb="12" eb="13">
      <t>ツキ</t>
    </rPh>
    <rPh sb="13" eb="17">
      <t>ヘイキンキオン</t>
    </rPh>
    <rPh sb="18" eb="22">
      <t>ヘイキンキオン</t>
    </rPh>
    <rPh sb="24" eb="26">
      <t>ヒョウホン</t>
    </rPh>
    <rPh sb="26" eb="28">
      <t>ヘイキン</t>
    </rPh>
    <rPh sb="29" eb="31">
      <t>ヒョウホン</t>
    </rPh>
    <rPh sb="31" eb="33">
      <t>ブンサン</t>
    </rPh>
    <rPh sb="36" eb="42">
      <t>ヒョウホンフヘンブンサン</t>
    </rPh>
    <rPh sb="43" eb="44">
      <t>モト</t>
    </rPh>
    <phoneticPr fontId="1"/>
  </si>
  <si>
    <t>標本平均は14.96，標本分散は60.50である．</t>
    <rPh sb="0" eb="4">
      <t>ヒョウホンヘイキン</t>
    </rPh>
    <rPh sb="11" eb="15">
      <t>ヒョウホンブンサン</t>
    </rPh>
    <phoneticPr fontId="1"/>
  </si>
  <si>
    <t>標本数</t>
    <rPh sb="0" eb="3">
      <t>ヒョウホンスウ</t>
    </rPh>
    <phoneticPr fontId="1"/>
  </si>
  <si>
    <r>
      <t>X</t>
    </r>
    <r>
      <rPr>
        <vertAlign val="subscript"/>
        <sz val="11"/>
        <color theme="1"/>
        <rFont val="Times New Roman"/>
        <family val="1"/>
      </rPr>
      <t>_bar</t>
    </r>
    <phoneticPr fontId="1"/>
  </si>
  <si>
    <r>
      <t>S</t>
    </r>
    <r>
      <rPr>
        <vertAlign val="superscript"/>
        <sz val="11"/>
        <color theme="1"/>
        <rFont val="Times New Roman"/>
        <family val="1"/>
      </rPr>
      <t>2</t>
    </r>
    <phoneticPr fontId="1"/>
  </si>
  <si>
    <t>n</t>
    <phoneticPr fontId="1"/>
  </si>
  <si>
    <r>
      <rPr>
        <sz val="11"/>
        <color theme="1"/>
        <rFont val="BIZ UDPゴシック"/>
        <family val="3"/>
        <charset val="128"/>
      </rPr>
      <t>∑</t>
    </r>
    <r>
      <rPr>
        <sz val="11"/>
        <color theme="1"/>
        <rFont val="Times New Roman"/>
        <family val="1"/>
      </rPr>
      <t>(X</t>
    </r>
    <r>
      <rPr>
        <vertAlign val="subscript"/>
        <sz val="11"/>
        <color theme="1"/>
        <rFont val="Times New Roman"/>
        <family val="1"/>
      </rPr>
      <t>i</t>
    </r>
    <r>
      <rPr>
        <sz val="11"/>
        <color theme="1"/>
        <rFont val="Times New Roman"/>
        <family val="1"/>
      </rPr>
      <t>-X</t>
    </r>
    <r>
      <rPr>
        <vertAlign val="subscript"/>
        <sz val="11"/>
        <color theme="1"/>
        <rFont val="Times New Roman"/>
        <family val="1"/>
      </rPr>
      <t>_bar</t>
    </r>
    <r>
      <rPr>
        <sz val="11"/>
        <color theme="1"/>
        <rFont val="Times New Roman"/>
        <family val="1"/>
      </rPr>
      <t>)</t>
    </r>
    <phoneticPr fontId="1"/>
  </si>
  <si>
    <t>自由度</t>
    <rPh sb="0" eb="3">
      <t>ジユウド</t>
    </rPh>
    <phoneticPr fontId="1"/>
  </si>
  <si>
    <t>n-1</t>
    <phoneticPr fontId="1"/>
  </si>
  <si>
    <r>
      <rPr>
        <sz val="11"/>
        <color theme="1"/>
        <rFont val="Times New Roman"/>
        <family val="1"/>
        <charset val="161"/>
      </rPr>
      <t>σ</t>
    </r>
    <r>
      <rPr>
        <vertAlign val="superscript"/>
        <sz val="11"/>
        <color theme="1"/>
        <rFont val="Times New Roman"/>
        <family val="1"/>
      </rPr>
      <t>2</t>
    </r>
    <r>
      <rPr>
        <vertAlign val="subscript"/>
        <sz val="11"/>
        <color theme="1"/>
        <rFont val="Times New Roman"/>
        <family val="1"/>
      </rPr>
      <t>_hat</t>
    </r>
    <phoneticPr fontId="1"/>
  </si>
  <si>
    <t>以下に対応する確率を求めよ</t>
    <rPh sb="0" eb="2">
      <t>イカ</t>
    </rPh>
    <rPh sb="3" eb="5">
      <t>タイオウ</t>
    </rPh>
    <rPh sb="7" eb="9">
      <t>カクリツ</t>
    </rPh>
    <rPh sb="10" eb="11">
      <t>モト</t>
    </rPh>
    <phoneticPr fontId="1"/>
  </si>
  <si>
    <t>①</t>
    <phoneticPr fontId="1"/>
  </si>
  <si>
    <t>②</t>
    <phoneticPr fontId="1"/>
  </si>
  <si>
    <t>③</t>
    <phoneticPr fontId="1"/>
  </si>
  <si>
    <t>④</t>
    <phoneticPr fontId="1"/>
  </si>
  <si>
    <t>⑤</t>
    <phoneticPr fontId="1"/>
  </si>
  <si>
    <t>⑥</t>
    <phoneticPr fontId="1"/>
  </si>
  <si>
    <t>⑦</t>
    <phoneticPr fontId="1"/>
  </si>
  <si>
    <t>⑧</t>
    <phoneticPr fontId="1"/>
  </si>
  <si>
    <t>Pr(Z≧0.25)=</t>
    <phoneticPr fontId="1"/>
  </si>
  <si>
    <t>Pr(Z≧1.00)=</t>
    <phoneticPr fontId="1"/>
  </si>
  <si>
    <t>Pr(Z≧0.03)=</t>
    <phoneticPr fontId="1"/>
  </si>
  <si>
    <t>Pr(Z≧2.01)=</t>
    <phoneticPr fontId="1"/>
  </si>
  <si>
    <t>Pr(Z≦2.96)=</t>
    <phoneticPr fontId="1"/>
  </si>
  <si>
    <r>
      <t>Pr(Z</t>
    </r>
    <r>
      <rPr>
        <sz val="11"/>
        <color theme="1"/>
        <rFont val="BIZ UDゴシック"/>
        <family val="1"/>
        <charset val="128"/>
      </rPr>
      <t>≧-</t>
    </r>
    <r>
      <rPr>
        <sz val="11"/>
        <color theme="1"/>
        <rFont val="BIZ UDゴシック"/>
        <family val="3"/>
        <charset val="128"/>
      </rPr>
      <t>0.25)=</t>
    </r>
    <phoneticPr fontId="1"/>
  </si>
  <si>
    <t>Pr(-0.25≦Z≦0.25)=</t>
    <phoneticPr fontId="1"/>
  </si>
  <si>
    <t>Pr(-0.05≦Z≦2.13)=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</si>
</sst>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"/>
    <numFmt numFmtId="179" formatCode="0.00000"/>
  </numFmts>
  <fonts count="11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Times New Roman"/>
      <family val="1"/>
    </font>
    <font>
      <sz val="11"/>
      <color theme="1"/>
      <name val="BIZ UDゴシック"/>
      <family val="3"/>
      <charset val="128"/>
    </font>
    <font>
      <vertAlign val="subscript"/>
      <sz val="11"/>
      <color theme="1"/>
      <name val="Times New Roman"/>
      <family val="1"/>
    </font>
    <font>
      <vertAlign val="superscript"/>
      <sz val="11"/>
      <color theme="1"/>
      <name val="Times New Roman"/>
      <family val="1"/>
    </font>
    <font>
      <sz val="11"/>
      <color theme="1"/>
      <name val="Times New Roman"/>
      <family val="3"/>
      <charset val="128"/>
    </font>
    <font>
      <sz val="11"/>
      <color theme="1"/>
      <name val="BIZ UDPゴシック"/>
      <family val="3"/>
      <charset val="128"/>
    </font>
    <font>
      <sz val="11"/>
      <color theme="1"/>
      <name val="Times New Roman"/>
      <family val="1"/>
      <charset val="161"/>
    </font>
    <font>
      <sz val="11"/>
      <name val="游ゴシック"/>
      <family val="2"/>
      <charset val="128"/>
      <scheme val="minor"/>
    </font>
    <font>
      <sz val="11"/>
      <color theme="1"/>
      <name val="BIZ UDゴシック"/>
      <family val="1"/>
      <charset val="128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38">
    <border>
      <left/>
      <right/>
      <top/>
      <bottom/>
      <diagonal/>
    </border>
    <border>
      <left style="thick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ck">
        <color auto="1"/>
      </right>
      <top/>
      <bottom/>
      <diagonal/>
    </border>
    <border>
      <left style="thick">
        <color auto="1"/>
      </left>
      <right style="thin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/>
      <bottom style="thick">
        <color auto="1"/>
      </bottom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dotted">
        <color auto="1"/>
      </right>
      <top style="thick">
        <color auto="1"/>
      </top>
      <bottom style="thin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thin">
        <color auto="1"/>
      </bottom>
      <diagonal/>
    </border>
    <border>
      <left style="dotted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dotted">
        <color auto="1"/>
      </right>
      <top style="thin">
        <color auto="1"/>
      </top>
      <bottom style="thin">
        <color auto="1"/>
      </bottom>
      <diagonal/>
    </border>
    <border>
      <left style="dotted">
        <color auto="1"/>
      </left>
      <right style="dotted">
        <color auto="1"/>
      </right>
      <top style="thin">
        <color auto="1"/>
      </top>
      <bottom style="thin">
        <color auto="1"/>
      </bottom>
      <diagonal/>
    </border>
    <border>
      <left style="dotted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dotted">
        <color auto="1"/>
      </right>
      <top style="thin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thin">
        <color auto="1"/>
      </top>
      <bottom style="thick">
        <color auto="1"/>
      </bottom>
      <diagonal/>
    </border>
    <border>
      <left style="dotted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 style="dotted">
        <color auto="1"/>
      </right>
      <top/>
      <bottom style="thin">
        <color auto="1"/>
      </bottom>
      <diagonal/>
    </border>
    <border>
      <left style="dotted">
        <color auto="1"/>
      </left>
      <right style="dotted">
        <color auto="1"/>
      </right>
      <top/>
      <bottom style="thin">
        <color auto="1"/>
      </bottom>
      <diagonal/>
    </border>
    <border>
      <left style="dotted">
        <color auto="1"/>
      </left>
      <right style="thick">
        <color auto="1"/>
      </right>
      <top/>
      <bottom style="thin">
        <color auto="1"/>
      </bottom>
      <diagonal/>
    </border>
    <border>
      <left style="thick">
        <color auto="1"/>
      </left>
      <right style="dotted">
        <color auto="1"/>
      </right>
      <top style="thick">
        <color auto="1"/>
      </top>
      <bottom style="double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double">
        <color auto="1"/>
      </bottom>
      <diagonal/>
    </border>
    <border>
      <left style="dotted">
        <color auto="1"/>
      </left>
      <right style="thick">
        <color auto="1"/>
      </right>
      <top style="thick">
        <color auto="1"/>
      </top>
      <bottom style="double">
        <color auto="1"/>
      </bottom>
      <diagonal/>
    </border>
    <border>
      <left style="dotted">
        <color auto="1"/>
      </left>
      <right/>
      <top style="thick">
        <color auto="1"/>
      </top>
      <bottom style="double">
        <color auto="1"/>
      </bottom>
      <diagonal/>
    </border>
    <border>
      <left style="dotted">
        <color auto="1"/>
      </left>
      <right/>
      <top style="thin">
        <color auto="1"/>
      </top>
      <bottom style="thin">
        <color auto="1"/>
      </bottom>
      <diagonal/>
    </border>
    <border>
      <left style="dotted">
        <color auto="1"/>
      </left>
      <right/>
      <top style="thin">
        <color auto="1"/>
      </top>
      <bottom style="thick">
        <color auto="1"/>
      </bottom>
      <diagonal/>
    </border>
    <border>
      <left style="dotted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ck">
        <color auto="1"/>
      </top>
      <bottom style="double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ck">
        <color auto="1"/>
      </left>
      <right style="dotted">
        <color auto="1"/>
      </right>
      <top style="thin">
        <color auto="1"/>
      </top>
      <bottom/>
      <diagonal/>
    </border>
    <border>
      <left style="dotted">
        <color auto="1"/>
      </left>
      <right style="thick">
        <color auto="1"/>
      </right>
      <top style="thin">
        <color auto="1"/>
      </top>
      <bottom/>
      <diagonal/>
    </border>
    <border>
      <left style="thick">
        <color auto="1"/>
      </left>
      <right style="dotted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/>
      <bottom style="thick">
        <color auto="1"/>
      </bottom>
      <diagonal/>
    </border>
    <border>
      <left style="dotted">
        <color auto="1"/>
      </left>
      <right style="thick">
        <color auto="1"/>
      </right>
      <top/>
      <bottom style="thick">
        <color auto="1"/>
      </bottom>
      <diagonal/>
    </border>
  </borders>
  <cellStyleXfs count="1">
    <xf numFmtId="0" fontId="0" fillId="0" borderId="0">
      <alignment vertical="center"/>
    </xf>
  </cellStyleXfs>
  <cellXfs count="63">
    <xf numFmtId="0" fontId="0" fillId="0" borderId="0" xfId="0">
      <alignment vertical="center"/>
    </xf>
    <xf numFmtId="0" fontId="3" fillId="0" borderId="0" xfId="0" applyFont="1">
      <alignment vertical="center"/>
    </xf>
    <xf numFmtId="176" fontId="3" fillId="2" borderId="1" xfId="0" applyNumberFormat="1" applyFont="1" applyFill="1" applyBorder="1" applyAlignment="1">
      <alignment horizontal="center" vertical="center"/>
    </xf>
    <xf numFmtId="179" fontId="3" fillId="0" borderId="2" xfId="0" applyNumberFormat="1" applyFont="1" applyBorder="1">
      <alignment vertical="center"/>
    </xf>
    <xf numFmtId="179" fontId="3" fillId="0" borderId="3" xfId="0" applyNumberFormat="1" applyFont="1" applyBorder="1">
      <alignment vertical="center"/>
    </xf>
    <xf numFmtId="0" fontId="3" fillId="0" borderId="2" xfId="0" applyFont="1" applyBorder="1">
      <alignment vertical="center"/>
    </xf>
    <xf numFmtId="0" fontId="3" fillId="0" borderId="3" xfId="0" applyFont="1" applyBorder="1">
      <alignment vertical="center"/>
    </xf>
    <xf numFmtId="176" fontId="3" fillId="2" borderId="4" xfId="0" applyNumberFormat="1" applyFont="1" applyFill="1" applyBorder="1" applyAlignment="1">
      <alignment horizontal="center" vertical="center"/>
    </xf>
    <xf numFmtId="179" fontId="3" fillId="0" borderId="5" xfId="0" applyNumberFormat="1" applyFont="1" applyBorder="1">
      <alignment vertical="center"/>
    </xf>
    <xf numFmtId="179" fontId="3" fillId="0" borderId="6" xfId="0" applyNumberFormat="1" applyFont="1" applyBorder="1">
      <alignment vertical="center"/>
    </xf>
    <xf numFmtId="0" fontId="2" fillId="2" borderId="7" xfId="0" applyFont="1" applyFill="1" applyBorder="1" applyAlignment="1">
      <alignment horizontal="center" vertical="center"/>
    </xf>
    <xf numFmtId="2" fontId="3" fillId="2" borderId="8" xfId="0" applyNumberFormat="1" applyFont="1" applyFill="1" applyBorder="1" applyAlignment="1">
      <alignment horizontal="center" vertical="center"/>
    </xf>
    <xf numFmtId="2" fontId="3" fillId="2" borderId="9" xfId="0" applyNumberFormat="1" applyFont="1" applyFill="1" applyBorder="1" applyAlignment="1">
      <alignment horizontal="center" vertical="center"/>
    </xf>
    <xf numFmtId="0" fontId="0" fillId="0" borderId="12" xfId="0" applyBorder="1">
      <alignment vertical="center"/>
    </xf>
    <xf numFmtId="0" fontId="0" fillId="0" borderId="14" xfId="0" applyBorder="1">
      <alignment vertical="center"/>
    </xf>
    <xf numFmtId="0" fontId="0" fillId="0" borderId="15" xfId="0" applyBorder="1">
      <alignment vertical="center"/>
    </xf>
    <xf numFmtId="0" fontId="0" fillId="0" borderId="16" xfId="0" applyBorder="1">
      <alignment vertical="center"/>
    </xf>
    <xf numFmtId="0" fontId="0" fillId="0" borderId="17" xfId="0" applyBorder="1">
      <alignment vertical="center"/>
    </xf>
    <xf numFmtId="0" fontId="0" fillId="0" borderId="18" xfId="0" applyBorder="1">
      <alignment vertical="center"/>
    </xf>
    <xf numFmtId="0" fontId="0" fillId="0" borderId="21" xfId="0" applyBorder="1">
      <alignment vertical="center"/>
    </xf>
    <xf numFmtId="0" fontId="0" fillId="0" borderId="22" xfId="0" applyBorder="1" applyAlignment="1">
      <alignment horizontal="center" vertical="center" shrinkToFit="1"/>
    </xf>
    <xf numFmtId="0" fontId="0" fillId="0" borderId="23" xfId="0" applyBorder="1" applyAlignment="1">
      <alignment horizontal="center" vertical="center" shrinkToFit="1"/>
    </xf>
    <xf numFmtId="0" fontId="0" fillId="0" borderId="24" xfId="0" applyBorder="1" applyAlignment="1">
      <alignment horizontal="center" vertical="center" shrinkToFit="1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25" xfId="0" applyBorder="1" applyAlignment="1">
      <alignment horizontal="center" vertical="center" shrinkToFit="1"/>
    </xf>
    <xf numFmtId="0" fontId="0" fillId="0" borderId="26" xfId="0" applyBorder="1">
      <alignment vertical="center"/>
    </xf>
    <xf numFmtId="0" fontId="0" fillId="0" borderId="27" xfId="0" applyBorder="1">
      <alignment vertical="center"/>
    </xf>
    <xf numFmtId="0" fontId="0" fillId="0" borderId="28" xfId="0" applyBorder="1">
      <alignment vertical="center"/>
    </xf>
    <xf numFmtId="0" fontId="0" fillId="0" borderId="29" xfId="0" applyBorder="1" applyAlignment="1">
      <alignment horizontal="center" vertical="center" shrinkToFit="1"/>
    </xf>
    <xf numFmtId="0" fontId="0" fillId="0" borderId="30" xfId="0" applyBorder="1">
      <alignment vertical="center"/>
    </xf>
    <xf numFmtId="0" fontId="0" fillId="0" borderId="31" xfId="0" applyBorder="1">
      <alignment vertical="center"/>
    </xf>
    <xf numFmtId="0" fontId="0" fillId="0" borderId="32" xfId="0" applyBorder="1">
      <alignment vertical="center"/>
    </xf>
    <xf numFmtId="0" fontId="0" fillId="0" borderId="10" xfId="0" applyBorder="1" applyAlignment="1">
      <alignment horizontal="center" vertical="center" shrinkToFit="1"/>
    </xf>
    <xf numFmtId="0" fontId="0" fillId="0" borderId="13" xfId="0" applyBorder="1" applyAlignment="1">
      <alignment vertical="center" shrinkToFit="1"/>
    </xf>
    <xf numFmtId="0" fontId="0" fillId="0" borderId="0" xfId="0" applyAlignment="1">
      <alignment horizontal="center" vertical="center" shrinkToFit="1"/>
    </xf>
    <xf numFmtId="0" fontId="0" fillId="0" borderId="33" xfId="0" applyBorder="1" applyAlignment="1">
      <alignment vertical="center" shrinkToFit="1"/>
    </xf>
    <xf numFmtId="0" fontId="0" fillId="0" borderId="34" xfId="0" applyBorder="1">
      <alignment vertical="center"/>
    </xf>
    <xf numFmtId="0" fontId="2" fillId="0" borderId="14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8" fillId="0" borderId="36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9" fillId="0" borderId="12" xfId="0" applyFont="1" applyBorder="1">
      <alignment vertical="center"/>
    </xf>
    <xf numFmtId="0" fontId="9" fillId="0" borderId="15" xfId="0" applyFont="1" applyBorder="1">
      <alignment vertical="center"/>
    </xf>
    <xf numFmtId="0" fontId="9" fillId="0" borderId="18" xfId="0" applyFont="1" applyBorder="1">
      <alignment vertical="center"/>
    </xf>
    <xf numFmtId="0" fontId="9" fillId="0" borderId="37" xfId="0" applyFont="1" applyBorder="1">
      <alignment vertical="center"/>
    </xf>
    <xf numFmtId="0" fontId="3" fillId="0" borderId="10" xfId="0" applyFont="1" applyBorder="1">
      <alignment vertical="center"/>
    </xf>
    <xf numFmtId="0" fontId="3" fillId="0" borderId="11" xfId="0" applyFont="1" applyBorder="1">
      <alignment vertical="center"/>
    </xf>
    <xf numFmtId="0" fontId="3" fillId="0" borderId="13" xfId="0" applyFont="1" applyBorder="1">
      <alignment vertical="center"/>
    </xf>
    <xf numFmtId="0" fontId="3" fillId="0" borderId="14" xfId="0" applyFont="1" applyBorder="1">
      <alignment vertical="center"/>
    </xf>
    <xf numFmtId="0" fontId="3" fillId="0" borderId="16" xfId="0" applyFont="1" applyBorder="1">
      <alignment vertical="center"/>
    </xf>
    <xf numFmtId="0" fontId="3" fillId="0" borderId="17" xfId="0" applyFont="1" applyBorder="1">
      <alignment vertical="center"/>
    </xf>
    <xf numFmtId="179" fontId="3" fillId="0" borderId="12" xfId="0" applyNumberFormat="1" applyFont="1" applyBorder="1">
      <alignment vertical="center"/>
    </xf>
    <xf numFmtId="179" fontId="3" fillId="0" borderId="15" xfId="0" applyNumberFormat="1" applyFont="1" applyBorder="1">
      <alignment vertical="center"/>
    </xf>
    <xf numFmtId="179" fontId="3" fillId="0" borderId="18" xfId="0" applyNumberFormat="1" applyFont="1" applyBorder="1">
      <alignment vertical="center"/>
    </xf>
    <xf numFmtId="0" fontId="3" fillId="0" borderId="0" xfId="0" applyFont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140710-E278-4A5B-9A8D-C453012B7A2B}">
  <dimension ref="B2:J17"/>
  <sheetViews>
    <sheetView showGridLines="0" tabSelected="1" workbookViewId="0"/>
  </sheetViews>
  <sheetFormatPr defaultRowHeight="18" x14ac:dyDescent="0.55000000000000004"/>
  <cols>
    <col min="9" max="9" width="8.6640625" customWidth="1"/>
  </cols>
  <sheetData>
    <row r="2" spans="2:10" x14ac:dyDescent="0.55000000000000004">
      <c r="B2" t="s">
        <v>17</v>
      </c>
    </row>
    <row r="3" spans="2:10" ht="18.5" thickBot="1" x14ac:dyDescent="0.6"/>
    <row r="4" spans="2:10" ht="19" thickTop="1" thickBot="1" x14ac:dyDescent="0.6">
      <c r="B4" s="20" t="s">
        <v>2</v>
      </c>
      <c r="C4" s="21" t="s">
        <v>3</v>
      </c>
      <c r="D4" s="29" t="s">
        <v>16</v>
      </c>
      <c r="E4" s="33" t="s">
        <v>18</v>
      </c>
      <c r="F4" s="22" t="s">
        <v>22</v>
      </c>
      <c r="H4" s="37" t="s">
        <v>19</v>
      </c>
      <c r="I4" s="13"/>
    </row>
    <row r="5" spans="2:10" ht="19" thickTop="1" thickBot="1" x14ac:dyDescent="0.6">
      <c r="B5" s="23">
        <v>2024</v>
      </c>
      <c r="C5" s="24" t="s">
        <v>4</v>
      </c>
      <c r="D5" s="32">
        <v>7.9</v>
      </c>
      <c r="E5" s="34"/>
      <c r="F5" s="19"/>
      <c r="H5" s="40" t="s">
        <v>20</v>
      </c>
      <c r="I5" s="41"/>
      <c r="J5" s="39" t="s">
        <v>24</v>
      </c>
    </row>
    <row r="6" spans="2:10" ht="18.5" thickTop="1" x14ac:dyDescent="0.55000000000000004">
      <c r="B6" s="25">
        <v>2024</v>
      </c>
      <c r="C6" s="26" t="s">
        <v>5</v>
      </c>
      <c r="D6" s="30">
        <v>8.3000000000000007</v>
      </c>
      <c r="E6" s="35"/>
      <c r="F6" s="15"/>
      <c r="H6" s="38" t="s">
        <v>21</v>
      </c>
      <c r="I6" s="14"/>
      <c r="J6" s="13"/>
    </row>
    <row r="7" spans="2:10" ht="18.5" thickBot="1" x14ac:dyDescent="0.6">
      <c r="B7" s="25">
        <v>2024</v>
      </c>
      <c r="C7" s="26" t="s">
        <v>6</v>
      </c>
      <c r="D7" s="30">
        <v>10.1</v>
      </c>
      <c r="E7" s="35"/>
      <c r="F7" s="15"/>
      <c r="H7" s="16" t="s">
        <v>23</v>
      </c>
      <c r="I7" s="17"/>
      <c r="J7" s="18"/>
    </row>
    <row r="8" spans="2:10" ht="18.5" thickTop="1" x14ac:dyDescent="0.55000000000000004">
      <c r="B8" s="25">
        <v>2024</v>
      </c>
      <c r="C8" s="26" t="s">
        <v>7</v>
      </c>
      <c r="D8" s="30">
        <v>17</v>
      </c>
      <c r="E8" s="35"/>
      <c r="F8" s="15"/>
    </row>
    <row r="9" spans="2:10" x14ac:dyDescent="0.55000000000000004">
      <c r="B9" s="25">
        <v>2024</v>
      </c>
      <c r="C9" s="26" t="s">
        <v>8</v>
      </c>
      <c r="D9" s="30">
        <v>20.100000000000001</v>
      </c>
      <c r="E9" s="35"/>
      <c r="F9" s="15"/>
    </row>
    <row r="10" spans="2:10" x14ac:dyDescent="0.55000000000000004">
      <c r="B10" s="25">
        <v>2024</v>
      </c>
      <c r="C10" s="26" t="s">
        <v>9</v>
      </c>
      <c r="D10" s="30">
        <v>23.2</v>
      </c>
      <c r="E10" s="35"/>
      <c r="F10" s="15"/>
    </row>
    <row r="11" spans="2:10" x14ac:dyDescent="0.55000000000000004">
      <c r="B11" s="25">
        <v>2024</v>
      </c>
      <c r="C11" s="26" t="s">
        <v>10</v>
      </c>
      <c r="D11" s="30">
        <v>28.8</v>
      </c>
      <c r="E11" s="35"/>
      <c r="F11" s="15"/>
    </row>
    <row r="12" spans="2:10" x14ac:dyDescent="0.55000000000000004">
      <c r="B12" s="25">
        <v>2024</v>
      </c>
      <c r="C12" s="26" t="s">
        <v>11</v>
      </c>
      <c r="D12" s="30">
        <v>29.2</v>
      </c>
      <c r="E12" s="35"/>
      <c r="F12" s="15"/>
    </row>
    <row r="13" spans="2:10" x14ac:dyDescent="0.55000000000000004">
      <c r="B13" s="25">
        <v>2024</v>
      </c>
      <c r="C13" s="26" t="s">
        <v>12</v>
      </c>
      <c r="D13" s="30">
        <v>27</v>
      </c>
      <c r="E13" s="35"/>
      <c r="F13" s="15"/>
    </row>
    <row r="14" spans="2:10" x14ac:dyDescent="0.55000000000000004">
      <c r="B14" s="25">
        <v>2024</v>
      </c>
      <c r="C14" s="26" t="s">
        <v>13</v>
      </c>
      <c r="D14" s="30">
        <v>21.2</v>
      </c>
      <c r="E14" s="35"/>
      <c r="F14" s="15"/>
    </row>
    <row r="15" spans="2:10" x14ac:dyDescent="0.55000000000000004">
      <c r="B15" s="25">
        <v>2024</v>
      </c>
      <c r="C15" s="26" t="s">
        <v>14</v>
      </c>
      <c r="D15" s="30">
        <v>14.6</v>
      </c>
      <c r="E15" s="35"/>
      <c r="F15" s="15"/>
    </row>
    <row r="16" spans="2:10" ht="18.5" thickBot="1" x14ac:dyDescent="0.6">
      <c r="B16" s="27">
        <v>2024</v>
      </c>
      <c r="C16" s="28" t="s">
        <v>15</v>
      </c>
      <c r="D16" s="31">
        <v>9</v>
      </c>
      <c r="E16" s="36"/>
      <c r="F16" s="18"/>
    </row>
    <row r="17" ht="18.5" thickTop="1" x14ac:dyDescent="0.55000000000000004"/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CF551B-1788-444A-8862-55751A93F873}">
  <dimension ref="B2:E11"/>
  <sheetViews>
    <sheetView showGridLines="0" workbookViewId="0"/>
  </sheetViews>
  <sheetFormatPr defaultRowHeight="18" x14ac:dyDescent="0.55000000000000004"/>
  <cols>
    <col min="3" max="3" width="12.33203125" bestFit="1" customWidth="1"/>
    <col min="4" max="4" width="9.75" bestFit="1" customWidth="1"/>
    <col min="10" max="10" width="8.6640625" customWidth="1"/>
  </cols>
  <sheetData>
    <row r="2" spans="2:5" x14ac:dyDescent="0.55000000000000004">
      <c r="B2" t="s">
        <v>25</v>
      </c>
    </row>
    <row r="3" spans="2:5" x14ac:dyDescent="0.55000000000000004">
      <c r="B3" t="s">
        <v>26</v>
      </c>
    </row>
    <row r="4" spans="2:5" ht="18.5" thickBot="1" x14ac:dyDescent="0.6"/>
    <row r="5" spans="2:5" ht="18.5" thickTop="1" x14ac:dyDescent="0.55000000000000004">
      <c r="C5" s="37" t="s">
        <v>19</v>
      </c>
      <c r="D5" s="44" t="s">
        <v>28</v>
      </c>
      <c r="E5" s="49"/>
    </row>
    <row r="6" spans="2:5" x14ac:dyDescent="0.55000000000000004">
      <c r="C6" s="25" t="s">
        <v>23</v>
      </c>
      <c r="D6" s="42" t="s">
        <v>29</v>
      </c>
      <c r="E6" s="50"/>
    </row>
    <row r="7" spans="2:5" ht="18.5" thickBot="1" x14ac:dyDescent="0.6">
      <c r="C7" s="27" t="s">
        <v>27</v>
      </c>
      <c r="D7" s="43" t="s">
        <v>30</v>
      </c>
      <c r="E7" s="51"/>
    </row>
    <row r="8" spans="2:5" ht="18.5" thickTop="1" x14ac:dyDescent="0.55000000000000004">
      <c r="C8" s="47" t="s">
        <v>20</v>
      </c>
      <c r="D8" s="48" t="s">
        <v>31</v>
      </c>
      <c r="E8" s="49"/>
    </row>
    <row r="9" spans="2:5" ht="18.5" thickBot="1" x14ac:dyDescent="0.6">
      <c r="C9" s="27" t="s">
        <v>32</v>
      </c>
      <c r="D9" s="43" t="s">
        <v>33</v>
      </c>
      <c r="E9" s="51"/>
    </row>
    <row r="10" spans="2:5" ht="19" thickTop="1" thickBot="1" x14ac:dyDescent="0.6">
      <c r="C10" s="45" t="s">
        <v>21</v>
      </c>
      <c r="D10" s="46" t="s">
        <v>34</v>
      </c>
      <c r="E10" s="52"/>
    </row>
    <row r="11" spans="2:5" ht="18.5" thickTop="1" x14ac:dyDescent="0.55000000000000004"/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A627C9-41E6-4DE0-AFB9-8305F4C18746}">
  <dimension ref="B2:R42"/>
  <sheetViews>
    <sheetView showGridLines="0" zoomScaleNormal="100" workbookViewId="0"/>
  </sheetViews>
  <sheetFormatPr defaultRowHeight="15" customHeight="1" x14ac:dyDescent="0.55000000000000004"/>
  <cols>
    <col min="1" max="2" width="8.6640625" style="1"/>
    <col min="3" max="3" width="3.1640625" style="1" bestFit="1" customWidth="1"/>
    <col min="4" max="4" width="19.25" style="1" bestFit="1" customWidth="1"/>
    <col min="5" max="5" width="18.25" style="1" bestFit="1" customWidth="1"/>
    <col min="6" max="6" width="8.6640625" style="1"/>
    <col min="7" max="7" width="3.58203125" style="1" customWidth="1"/>
    <col min="8" max="18" width="8.6640625" style="1"/>
    <col min="19" max="19" width="3.58203125" style="1" customWidth="1"/>
    <col min="20" max="16384" width="8.6640625" style="1"/>
  </cols>
  <sheetData>
    <row r="2" spans="2:18" ht="15" customHeight="1" x14ac:dyDescent="0.55000000000000004">
      <c r="H2" s="62" t="s">
        <v>1</v>
      </c>
      <c r="I2" s="62"/>
      <c r="J2" s="62"/>
      <c r="K2" s="62"/>
      <c r="L2" s="62"/>
      <c r="M2" s="62"/>
      <c r="N2" s="62"/>
      <c r="O2" s="62"/>
      <c r="P2" s="62"/>
      <c r="Q2" s="62"/>
      <c r="R2" s="62"/>
    </row>
    <row r="3" spans="2:18" ht="15" customHeight="1" thickBot="1" x14ac:dyDescent="0.6">
      <c r="B3" s="1" t="s">
        <v>35</v>
      </c>
    </row>
    <row r="4" spans="2:18" ht="15" customHeight="1" thickTop="1" x14ac:dyDescent="0.55000000000000004">
      <c r="C4" s="53" t="s">
        <v>36</v>
      </c>
      <c r="D4" s="54" t="s">
        <v>44</v>
      </c>
      <c r="E4" s="59"/>
      <c r="H4" s="10" t="s">
        <v>0</v>
      </c>
      <c r="I4" s="11">
        <v>0</v>
      </c>
      <c r="J4" s="11">
        <v>0.01</v>
      </c>
      <c r="K4" s="11">
        <v>0.02</v>
      </c>
      <c r="L4" s="11">
        <v>0.03</v>
      </c>
      <c r="M4" s="11">
        <v>0.04</v>
      </c>
      <c r="N4" s="11">
        <v>0.05</v>
      </c>
      <c r="O4" s="11">
        <v>0.06</v>
      </c>
      <c r="P4" s="11">
        <v>7.0000000000000007E-2</v>
      </c>
      <c r="Q4" s="11">
        <v>0.08</v>
      </c>
      <c r="R4" s="12">
        <v>0.09</v>
      </c>
    </row>
    <row r="5" spans="2:18" ht="15" customHeight="1" x14ac:dyDescent="0.55000000000000004">
      <c r="C5" s="55" t="s">
        <v>37</v>
      </c>
      <c r="D5" s="56" t="s">
        <v>45</v>
      </c>
      <c r="E5" s="60"/>
      <c r="H5" s="2">
        <v>0</v>
      </c>
      <c r="I5" s="3">
        <f t="shared" ref="I5:R5" si="0">1-_xlfn.NORM.DIST($H5+I$4,0,1,TRUE)</f>
        <v>0.5</v>
      </c>
      <c r="J5" s="3">
        <f t="shared" si="0"/>
        <v>0.4960106436853684</v>
      </c>
      <c r="K5" s="3">
        <f t="shared" si="0"/>
        <v>0.49202168628309795</v>
      </c>
      <c r="L5" s="3">
        <f t="shared" si="0"/>
        <v>0.48803352658588728</v>
      </c>
      <c r="M5" s="3">
        <f t="shared" si="0"/>
        <v>0.48404656314716932</v>
      </c>
      <c r="N5" s="3">
        <f t="shared" si="0"/>
        <v>0.48006119416162751</v>
      </c>
      <c r="O5" s="3">
        <f t="shared" si="0"/>
        <v>0.47607781734589316</v>
      </c>
      <c r="P5" s="3">
        <f t="shared" si="0"/>
        <v>0.47209682981947887</v>
      </c>
      <c r="Q5" s="3">
        <f t="shared" si="0"/>
        <v>0.46811862798601256</v>
      </c>
      <c r="R5" s="4">
        <f t="shared" si="0"/>
        <v>0.46414360741482796</v>
      </c>
    </row>
    <row r="6" spans="2:18" ht="15" customHeight="1" x14ac:dyDescent="0.55000000000000004">
      <c r="C6" s="55" t="s">
        <v>38</v>
      </c>
      <c r="D6" s="56" t="s">
        <v>46</v>
      </c>
      <c r="E6" s="60"/>
      <c r="H6" s="2"/>
      <c r="I6" s="5"/>
      <c r="J6" s="5"/>
      <c r="K6" s="5"/>
      <c r="L6" s="5"/>
      <c r="M6" s="5"/>
      <c r="N6" s="5"/>
      <c r="O6" s="5"/>
      <c r="P6" s="5"/>
      <c r="Q6" s="5"/>
      <c r="R6" s="6"/>
    </row>
    <row r="7" spans="2:18" ht="15" customHeight="1" x14ac:dyDescent="0.55000000000000004">
      <c r="C7" s="55" t="s">
        <v>39</v>
      </c>
      <c r="D7" s="56" t="s">
        <v>47</v>
      </c>
      <c r="E7" s="60"/>
      <c r="H7" s="2">
        <v>0.1</v>
      </c>
      <c r="I7" s="3">
        <f t="shared" ref="I7:R11" si="1">1-_xlfn.NORM.DIST($H7+I$4,0,1,TRUE)</f>
        <v>0.46017216272297101</v>
      </c>
      <c r="J7" s="3">
        <f t="shared" si="1"/>
        <v>0.45620468745768328</v>
      </c>
      <c r="K7" s="3">
        <f t="shared" si="1"/>
        <v>0.45224157397941611</v>
      </c>
      <c r="L7" s="3">
        <f t="shared" si="1"/>
        <v>0.44828321334543886</v>
      </c>
      <c r="M7" s="3">
        <f t="shared" si="1"/>
        <v>0.44432999519409355</v>
      </c>
      <c r="N7" s="3">
        <f t="shared" si="1"/>
        <v>0.4403823076297575</v>
      </c>
      <c r="O7" s="3">
        <f t="shared" si="1"/>
        <v>0.43644053710856712</v>
      </c>
      <c r="P7" s="3">
        <f t="shared" si="1"/>
        <v>0.43250506832496161</v>
      </c>
      <c r="Q7" s="3">
        <f t="shared" si="1"/>
        <v>0.4285762840990992</v>
      </c>
      <c r="R7" s="4">
        <f t="shared" si="1"/>
        <v>0.42465456526520451</v>
      </c>
    </row>
    <row r="8" spans="2:18" ht="15" customHeight="1" x14ac:dyDescent="0.55000000000000004">
      <c r="C8" s="55" t="s">
        <v>40</v>
      </c>
      <c r="D8" s="56" t="s">
        <v>48</v>
      </c>
      <c r="E8" s="60"/>
      <c r="H8" s="2">
        <v>0.2</v>
      </c>
      <c r="I8" s="3">
        <f t="shared" si="1"/>
        <v>0.42074029056089701</v>
      </c>
      <c r="J8" s="3">
        <f t="shared" si="1"/>
        <v>0.41683383651755768</v>
      </c>
      <c r="K8" s="3">
        <f t="shared" si="1"/>
        <v>0.41293557735178532</v>
      </c>
      <c r="L8" s="3">
        <f t="shared" si="1"/>
        <v>0.40904588485799409</v>
      </c>
      <c r="M8" s="3">
        <f t="shared" si="1"/>
        <v>0.40516512830220419</v>
      </c>
      <c r="N8" s="3">
        <f t="shared" si="1"/>
        <v>0.4012936743170763</v>
      </c>
      <c r="O8" s="3">
        <f t="shared" si="1"/>
        <v>0.39743188679823949</v>
      </c>
      <c r="P8" s="3">
        <f t="shared" si="1"/>
        <v>0.39358012680196053</v>
      </c>
      <c r="Q8" s="3">
        <f t="shared" si="1"/>
        <v>0.38973875244420275</v>
      </c>
      <c r="R8" s="4">
        <f t="shared" si="1"/>
        <v>0.38590811880112263</v>
      </c>
    </row>
    <row r="9" spans="2:18" ht="15" customHeight="1" x14ac:dyDescent="0.55000000000000004">
      <c r="C9" s="55" t="s">
        <v>41</v>
      </c>
      <c r="D9" s="56" t="s">
        <v>49</v>
      </c>
      <c r="E9" s="60"/>
      <c r="H9" s="2">
        <v>0.3</v>
      </c>
      <c r="I9" s="3">
        <f t="shared" si="1"/>
        <v>0.38208857781104733</v>
      </c>
      <c r="J9" s="3">
        <f t="shared" si="1"/>
        <v>0.37828047817798072</v>
      </c>
      <c r="K9" s="3">
        <f t="shared" si="1"/>
        <v>0.37448416527667994</v>
      </c>
      <c r="L9" s="3">
        <f t="shared" si="1"/>
        <v>0.37069998105934654</v>
      </c>
      <c r="M9" s="3">
        <f t="shared" si="1"/>
        <v>0.36692826396397193</v>
      </c>
      <c r="N9" s="3">
        <f t="shared" si="1"/>
        <v>0.3631693488243809</v>
      </c>
      <c r="O9" s="3">
        <f t="shared" si="1"/>
        <v>0.35942356678200871</v>
      </c>
      <c r="P9" s="3">
        <f t="shared" si="1"/>
        <v>0.35569124519945317</v>
      </c>
      <c r="Q9" s="3">
        <f t="shared" si="1"/>
        <v>0.35197270757583721</v>
      </c>
      <c r="R9" s="4">
        <f t="shared" si="1"/>
        <v>0.34826827346401756</v>
      </c>
    </row>
    <row r="10" spans="2:18" ht="15" customHeight="1" x14ac:dyDescent="0.55000000000000004">
      <c r="C10" s="55" t="s">
        <v>42</v>
      </c>
      <c r="D10" s="56" t="s">
        <v>50</v>
      </c>
      <c r="E10" s="60"/>
      <c r="H10" s="2">
        <v>0.4</v>
      </c>
      <c r="I10" s="3">
        <f t="shared" si="1"/>
        <v>0.34457825838967571</v>
      </c>
      <c r="J10" s="3">
        <f t="shared" si="1"/>
        <v>0.34090297377232259</v>
      </c>
      <c r="K10" s="3">
        <f t="shared" si="1"/>
        <v>0.33724272684824941</v>
      </c>
      <c r="L10" s="3">
        <f t="shared" si="1"/>
        <v>0.33359782059545762</v>
      </c>
      <c r="M10" s="3">
        <f t="shared" si="1"/>
        <v>0.32996855366059363</v>
      </c>
      <c r="N10" s="3">
        <f t="shared" si="1"/>
        <v>0.32635522028791997</v>
      </c>
      <c r="O10" s="3">
        <f t="shared" si="1"/>
        <v>0.32275811025034773</v>
      </c>
      <c r="P10" s="3">
        <f t="shared" si="1"/>
        <v>0.3191775087825558</v>
      </c>
      <c r="Q10" s="3">
        <f t="shared" si="1"/>
        <v>0.31561369651622251</v>
      </c>
      <c r="R10" s="4">
        <f t="shared" si="1"/>
        <v>0.31206694941739055</v>
      </c>
    </row>
    <row r="11" spans="2:18" ht="15" customHeight="1" thickBot="1" x14ac:dyDescent="0.6">
      <c r="C11" s="57" t="s">
        <v>43</v>
      </c>
      <c r="D11" s="58" t="s">
        <v>51</v>
      </c>
      <c r="E11" s="61"/>
      <c r="H11" s="2">
        <v>0.5</v>
      </c>
      <c r="I11" s="3">
        <f t="shared" si="1"/>
        <v>0.30853753872598688</v>
      </c>
      <c r="J11" s="3">
        <f t="shared" si="1"/>
        <v>0.30502573089751939</v>
      </c>
      <c r="K11" s="3">
        <f t="shared" si="1"/>
        <v>0.30153178754696619</v>
      </c>
      <c r="L11" s="3">
        <f t="shared" si="1"/>
        <v>0.29805596539487644</v>
      </c>
      <c r="M11" s="3">
        <f t="shared" si="1"/>
        <v>0.29459851621569799</v>
      </c>
      <c r="N11" s="3">
        <f t="shared" si="1"/>
        <v>0.29115968678834636</v>
      </c>
      <c r="O11" s="3">
        <f t="shared" si="1"/>
        <v>0.28773971884902705</v>
      </c>
      <c r="P11" s="3">
        <f t="shared" si="1"/>
        <v>0.28433884904632412</v>
      </c>
      <c r="Q11" s="3">
        <f t="shared" si="1"/>
        <v>0.2809573088985643</v>
      </c>
      <c r="R11" s="4">
        <f t="shared" si="1"/>
        <v>0.27759532475346493</v>
      </c>
    </row>
    <row r="12" spans="2:18" ht="15" customHeight="1" thickTop="1" x14ac:dyDescent="0.55000000000000004">
      <c r="H12" s="2"/>
      <c r="I12" s="5"/>
      <c r="J12" s="5"/>
      <c r="K12" s="5"/>
      <c r="L12" s="5"/>
      <c r="M12" s="5"/>
      <c r="N12" s="5"/>
      <c r="O12" s="5"/>
      <c r="P12" s="5"/>
      <c r="Q12" s="5"/>
      <c r="R12" s="6"/>
    </row>
    <row r="13" spans="2:18" ht="15" customHeight="1" x14ac:dyDescent="0.55000000000000004">
      <c r="H13" s="2">
        <v>0.6</v>
      </c>
      <c r="I13" s="3">
        <f t="shared" ref="I13:R17" si="2">1-_xlfn.NORM.DIST($H13+I$4,0,1,TRUE)</f>
        <v>0.27425311775007355</v>
      </c>
      <c r="J13" s="3">
        <f t="shared" si="2"/>
        <v>0.27093090378300566</v>
      </c>
      <c r="K13" s="3">
        <f t="shared" si="2"/>
        <v>0.267628893468983</v>
      </c>
      <c r="L13" s="3">
        <f t="shared" si="2"/>
        <v>0.26434729211567753</v>
      </c>
      <c r="M13" s="3">
        <f t="shared" si="2"/>
        <v>0.26108629969286157</v>
      </c>
      <c r="N13" s="3">
        <f t="shared" si="2"/>
        <v>0.25784611080586473</v>
      </c>
      <c r="O13" s="3">
        <f t="shared" si="2"/>
        <v>0.25462691467133614</v>
      </c>
      <c r="P13" s="3">
        <f t="shared" si="2"/>
        <v>0.25142889509531008</v>
      </c>
      <c r="Q13" s="3">
        <f t="shared" si="2"/>
        <v>0.24825223045357048</v>
      </c>
      <c r="R13" s="4">
        <f t="shared" si="2"/>
        <v>0.24509709367430943</v>
      </c>
    </row>
    <row r="14" spans="2:18" ht="15" customHeight="1" x14ac:dyDescent="0.55000000000000004">
      <c r="H14" s="2">
        <v>0.7</v>
      </c>
      <c r="I14" s="3">
        <f t="shared" si="2"/>
        <v>0.24196365222307303</v>
      </c>
      <c r="J14" s="3">
        <f t="shared" si="2"/>
        <v>0.23885206808998671</v>
      </c>
      <c r="K14" s="3">
        <f t="shared" si="2"/>
        <v>0.23576249777925118</v>
      </c>
      <c r="L14" s="3">
        <f t="shared" si="2"/>
        <v>0.23269509230089747</v>
      </c>
      <c r="M14" s="3">
        <f t="shared" si="2"/>
        <v>0.22964999716479062</v>
      </c>
      <c r="N14" s="3">
        <f t="shared" si="2"/>
        <v>0.22662735237686826</v>
      </c>
      <c r="O14" s="3">
        <f t="shared" si="2"/>
        <v>0.22362729243759938</v>
      </c>
      <c r="P14" s="3">
        <f t="shared" si="2"/>
        <v>0.22064994634264956</v>
      </c>
      <c r="Q14" s="3">
        <f t="shared" si="2"/>
        <v>0.21769543758573318</v>
      </c>
      <c r="R14" s="4">
        <f t="shared" si="2"/>
        <v>0.21476388416363723</v>
      </c>
    </row>
    <row r="15" spans="2:18" ht="15" customHeight="1" x14ac:dyDescent="0.55000000000000004">
      <c r="H15" s="2">
        <v>0.8</v>
      </c>
      <c r="I15" s="3">
        <f t="shared" si="2"/>
        <v>0.21185539858339664</v>
      </c>
      <c r="J15" s="3">
        <f t="shared" si="2"/>
        <v>0.20897008787160165</v>
      </c>
      <c r="K15" s="3">
        <f t="shared" si="2"/>
        <v>0.20610805358581308</v>
      </c>
      <c r="L15" s="3">
        <f t="shared" si="2"/>
        <v>0.20326939182806836</v>
      </c>
      <c r="M15" s="3">
        <f t="shared" si="2"/>
        <v>0.20045419326044966</v>
      </c>
      <c r="N15" s="3">
        <f t="shared" si="2"/>
        <v>0.19766254312269238</v>
      </c>
      <c r="O15" s="3">
        <f t="shared" si="2"/>
        <v>0.19489452125180828</v>
      </c>
      <c r="P15" s="3">
        <f t="shared" si="2"/>
        <v>0.19215020210369615</v>
      </c>
      <c r="Q15" s="3">
        <f t="shared" si="2"/>
        <v>0.18942965477671214</v>
      </c>
      <c r="R15" s="4">
        <f t="shared" si="2"/>
        <v>0.18673294303717258</v>
      </c>
    </row>
    <row r="16" spans="2:18" ht="15" customHeight="1" x14ac:dyDescent="0.55000000000000004">
      <c r="H16" s="2">
        <v>0.9</v>
      </c>
      <c r="I16" s="3">
        <f t="shared" si="2"/>
        <v>0.18406012534675953</v>
      </c>
      <c r="J16" s="3">
        <f t="shared" si="2"/>
        <v>0.18141125489179721</v>
      </c>
      <c r="K16" s="3">
        <f t="shared" si="2"/>
        <v>0.17878637961437172</v>
      </c>
      <c r="L16" s="3">
        <f t="shared" si="2"/>
        <v>0.17618554224525784</v>
      </c>
      <c r="M16" s="3">
        <f t="shared" si="2"/>
        <v>0.17360878033862448</v>
      </c>
      <c r="N16" s="3">
        <f t="shared" si="2"/>
        <v>0.17105612630848177</v>
      </c>
      <c r="O16" s="3">
        <f t="shared" si="2"/>
        <v>0.16852760746683781</v>
      </c>
      <c r="P16" s="3">
        <f t="shared" si="2"/>
        <v>0.16602324606352958</v>
      </c>
      <c r="Q16" s="3">
        <f t="shared" si="2"/>
        <v>0.16354305932769231</v>
      </c>
      <c r="R16" s="4">
        <f t="shared" si="2"/>
        <v>0.16108705951083091</v>
      </c>
    </row>
    <row r="17" spans="8:18" ht="15" customHeight="1" x14ac:dyDescent="0.55000000000000004">
      <c r="H17" s="2">
        <v>1</v>
      </c>
      <c r="I17" s="3">
        <f t="shared" si="2"/>
        <v>0.15865525393145696</v>
      </c>
      <c r="J17" s="3">
        <f t="shared" si="2"/>
        <v>0.15624764502125454</v>
      </c>
      <c r="K17" s="3">
        <f t="shared" si="2"/>
        <v>0.15386423037273489</v>
      </c>
      <c r="L17" s="3">
        <f t="shared" si="2"/>
        <v>0.15150500278834367</v>
      </c>
      <c r="M17" s="3">
        <f t="shared" si="2"/>
        <v>0.14916995033098135</v>
      </c>
      <c r="N17" s="3">
        <f t="shared" si="2"/>
        <v>0.14685905637589591</v>
      </c>
      <c r="O17" s="3">
        <f t="shared" si="2"/>
        <v>0.14457229966390961</v>
      </c>
      <c r="P17" s="3">
        <f t="shared" si="2"/>
        <v>0.14230965435593923</v>
      </c>
      <c r="Q17" s="3">
        <f t="shared" si="2"/>
        <v>0.14007109008876906</v>
      </c>
      <c r="R17" s="4">
        <f t="shared" si="2"/>
        <v>0.1378565720320355</v>
      </c>
    </row>
    <row r="18" spans="8:18" ht="15" customHeight="1" x14ac:dyDescent="0.55000000000000004">
      <c r="H18" s="2"/>
      <c r="I18" s="5"/>
      <c r="J18" s="5"/>
      <c r="K18" s="5"/>
      <c r="L18" s="5"/>
      <c r="M18" s="5"/>
      <c r="N18" s="5"/>
      <c r="O18" s="5"/>
      <c r="P18" s="5"/>
      <c r="Q18" s="5"/>
      <c r="R18" s="6"/>
    </row>
    <row r="19" spans="8:18" ht="15" customHeight="1" x14ac:dyDescent="0.55000000000000004">
      <c r="H19" s="2">
        <v>1.1000000000000001</v>
      </c>
      <c r="I19" s="3">
        <f t="shared" ref="I19:R23" si="3">1-_xlfn.NORM.DIST($H19+I$4,0,1,TRUE)</f>
        <v>0.13566606094638267</v>
      </c>
      <c r="J19" s="3">
        <f t="shared" si="3"/>
        <v>0.13349951324274723</v>
      </c>
      <c r="K19" s="3">
        <f t="shared" si="3"/>
        <v>0.13135688104273069</v>
      </c>
      <c r="L19" s="3">
        <f t="shared" si="3"/>
        <v>0.1292381122400178</v>
      </c>
      <c r="M19" s="3">
        <f t="shared" si="3"/>
        <v>0.12714315056279824</v>
      </c>
      <c r="N19" s="3">
        <f t="shared" si="3"/>
        <v>0.12507193563715013</v>
      </c>
      <c r="O19" s="3">
        <f t="shared" si="3"/>
        <v>0.12302440305134332</v>
      </c>
      <c r="P19" s="3">
        <f t="shared" si="3"/>
        <v>0.12100048442101818</v>
      </c>
      <c r="Q19" s="3">
        <f t="shared" si="3"/>
        <v>0.11900010745520062</v>
      </c>
      <c r="R19" s="4">
        <f t="shared" si="3"/>
        <v>0.11702319602310873</v>
      </c>
    </row>
    <row r="20" spans="8:18" ht="15" customHeight="1" x14ac:dyDescent="0.55000000000000004">
      <c r="H20" s="2">
        <v>1.2</v>
      </c>
      <c r="I20" s="3">
        <f t="shared" si="3"/>
        <v>0.11506967022170822</v>
      </c>
      <c r="J20" s="3">
        <f t="shared" si="3"/>
        <v>0.11313944644397722</v>
      </c>
      <c r="K20" s="3">
        <f t="shared" si="3"/>
        <v>0.11123243744783462</v>
      </c>
      <c r="L20" s="3">
        <f t="shared" si="3"/>
        <v>0.10934855242569186</v>
      </c>
      <c r="M20" s="3">
        <f t="shared" si="3"/>
        <v>0.10748769707458694</v>
      </c>
      <c r="N20" s="3">
        <f t="shared" si="3"/>
        <v>0.10564977366685524</v>
      </c>
      <c r="O20" s="3">
        <f t="shared" si="3"/>
        <v>0.10383468112130034</v>
      </c>
      <c r="P20" s="3">
        <f t="shared" si="3"/>
        <v>0.10204231507481909</v>
      </c>
      <c r="Q20" s="3">
        <f t="shared" si="3"/>
        <v>0.10027256795444206</v>
      </c>
      <c r="R20" s="4">
        <f t="shared" si="3"/>
        <v>9.8525329049747867E-2</v>
      </c>
    </row>
    <row r="21" spans="8:18" ht="15" customHeight="1" x14ac:dyDescent="0.55000000000000004">
      <c r="H21" s="2">
        <v>1.3</v>
      </c>
      <c r="I21" s="3">
        <f t="shared" si="3"/>
        <v>9.6800484585610302E-2</v>
      </c>
      <c r="J21" s="3">
        <f t="shared" si="3"/>
        <v>9.5097917795239018E-2</v>
      </c>
      <c r="K21" s="3">
        <f t="shared" si="3"/>
        <v>9.3417508993471787E-2</v>
      </c>
      <c r="L21" s="3">
        <f t="shared" si="3"/>
        <v>9.1759135650280821E-2</v>
      </c>
      <c r="M21" s="3">
        <f t="shared" si="3"/>
        <v>9.0122672464452491E-2</v>
      </c>
      <c r="N21" s="3">
        <f t="shared" si="3"/>
        <v>8.8507991437401956E-2</v>
      </c>
      <c r="O21" s="3">
        <f t="shared" si="3"/>
        <v>8.6914961947085034E-2</v>
      </c>
      <c r="P21" s="3">
        <f t="shared" si="3"/>
        <v>8.5343450821966926E-2</v>
      </c>
      <c r="Q21" s="3">
        <f t="shared" si="3"/>
        <v>8.3793322415014249E-2</v>
      </c>
      <c r="R21" s="4">
        <f t="shared" si="3"/>
        <v>8.2264438677668861E-2</v>
      </c>
    </row>
    <row r="22" spans="8:18" ht="15" customHeight="1" x14ac:dyDescent="0.55000000000000004">
      <c r="H22" s="2">
        <v>1.4</v>
      </c>
      <c r="I22" s="3">
        <f t="shared" si="3"/>
        <v>8.0756659233771066E-2</v>
      </c>
      <c r="J22" s="3">
        <f t="shared" si="3"/>
        <v>7.9269841453392442E-2</v>
      </c>
      <c r="K22" s="3">
        <f t="shared" si="3"/>
        <v>7.780384052654632E-2</v>
      </c>
      <c r="L22" s="3">
        <f t="shared" si="3"/>
        <v>7.6358509536739172E-2</v>
      </c>
      <c r="M22" s="3">
        <f t="shared" si="3"/>
        <v>7.4933699534327047E-2</v>
      </c>
      <c r="N22" s="3">
        <f t="shared" si="3"/>
        <v>7.3529259609648401E-2</v>
      </c>
      <c r="O22" s="3">
        <f t="shared" si="3"/>
        <v>7.2145036965893805E-2</v>
      </c>
      <c r="P22" s="3">
        <f t="shared" si="3"/>
        <v>7.078087699168556E-2</v>
      </c>
      <c r="Q22" s="3">
        <f t="shared" si="3"/>
        <v>6.9436623333331671E-2</v>
      </c>
      <c r="R22" s="4">
        <f t="shared" si="3"/>
        <v>6.8112117966725449E-2</v>
      </c>
    </row>
    <row r="23" spans="8:18" ht="15" customHeight="1" x14ac:dyDescent="0.55000000000000004">
      <c r="H23" s="2">
        <v>1.5</v>
      </c>
      <c r="I23" s="3">
        <f t="shared" si="3"/>
        <v>6.6807201268858085E-2</v>
      </c>
      <c r="J23" s="3">
        <f t="shared" si="3"/>
        <v>6.5521712088916439E-2</v>
      </c>
      <c r="K23" s="3">
        <f t="shared" si="3"/>
        <v>6.4255487818935753E-2</v>
      </c>
      <c r="L23" s="3">
        <f t="shared" si="3"/>
        <v>6.3008364463978395E-2</v>
      </c>
      <c r="M23" s="3">
        <f t="shared" si="3"/>
        <v>6.1780176711811907E-2</v>
      </c>
      <c r="N23" s="3">
        <f t="shared" si="3"/>
        <v>6.0570758002059022E-2</v>
      </c>
      <c r="O23" s="3">
        <f t="shared" si="3"/>
        <v>5.9379940594793013E-2</v>
      </c>
      <c r="P23" s="3">
        <f t="shared" si="3"/>
        <v>5.8207555638553066E-2</v>
      </c>
      <c r="Q23" s="3">
        <f t="shared" si="3"/>
        <v>5.7053433237754136E-2</v>
      </c>
      <c r="R23" s="4">
        <f t="shared" si="3"/>
        <v>5.5917402519469417E-2</v>
      </c>
    </row>
    <row r="24" spans="8:18" ht="15" customHeight="1" x14ac:dyDescent="0.55000000000000004">
      <c r="H24" s="2"/>
      <c r="I24" s="5"/>
      <c r="J24" s="5"/>
      <c r="K24" s="5"/>
      <c r="L24" s="5"/>
      <c r="M24" s="5"/>
      <c r="N24" s="5"/>
      <c r="O24" s="5"/>
      <c r="P24" s="5"/>
      <c r="Q24" s="5"/>
      <c r="R24" s="6"/>
    </row>
    <row r="25" spans="8:18" ht="15" customHeight="1" x14ac:dyDescent="0.55000000000000004">
      <c r="H25" s="2">
        <v>1.6</v>
      </c>
      <c r="I25" s="3">
        <f t="shared" ref="I25:R29" si="4">1-_xlfn.NORM.DIST($H25+I$4,0,1,TRUE)</f>
        <v>5.4799291699557995E-2</v>
      </c>
      <c r="J25" s="3">
        <f t="shared" si="4"/>
        <v>5.3698928148119718E-2</v>
      </c>
      <c r="K25" s="3">
        <f t="shared" si="4"/>
        <v>5.2616138454252059E-2</v>
      </c>
      <c r="L25" s="3">
        <f t="shared" si="4"/>
        <v>5.1550748490089338E-2</v>
      </c>
      <c r="M25" s="3">
        <f t="shared" si="4"/>
        <v>5.0502583474103746E-2</v>
      </c>
      <c r="N25" s="3">
        <f t="shared" si="4"/>
        <v>4.9471468033648103E-2</v>
      </c>
      <c r="O25" s="3">
        <f t="shared" si="4"/>
        <v>4.8457226266722775E-2</v>
      </c>
      <c r="P25" s="3">
        <f t="shared" si="4"/>
        <v>4.7459681802947351E-2</v>
      </c>
      <c r="Q25" s="3">
        <f t="shared" si="4"/>
        <v>4.6478657863719963E-2</v>
      </c>
      <c r="R25" s="4">
        <f t="shared" si="4"/>
        <v>4.5513977321549826E-2</v>
      </c>
    </row>
    <row r="26" spans="8:18" ht="15" customHeight="1" x14ac:dyDescent="0.55000000000000004">
      <c r="H26" s="2">
        <v>1.7</v>
      </c>
      <c r="I26" s="3">
        <f t="shared" si="4"/>
        <v>4.4565462758543006E-2</v>
      </c>
      <c r="J26" s="3">
        <f t="shared" si="4"/>
        <v>4.3632936524031884E-2</v>
      </c>
      <c r="K26" s="3">
        <f t="shared" si="4"/>
        <v>4.2716220791328863E-2</v>
      </c>
      <c r="L26" s="3">
        <f t="shared" si="4"/>
        <v>4.1815137613594899E-2</v>
      </c>
      <c r="M26" s="3">
        <f t="shared" si="4"/>
        <v>4.0929508978807316E-2</v>
      </c>
      <c r="N26" s="3">
        <f t="shared" si="4"/>
        <v>4.0059156863817114E-2</v>
      </c>
      <c r="O26" s="3">
        <f t="shared" si="4"/>
        <v>3.9203903287482689E-2</v>
      </c>
      <c r="P26" s="3">
        <f t="shared" si="4"/>
        <v>3.8363570362871191E-2</v>
      </c>
      <c r="Q26" s="3">
        <f t="shared" si="4"/>
        <v>3.7537980348516742E-2</v>
      </c>
      <c r="R26" s="4">
        <f t="shared" si="4"/>
        <v>3.6726955698726305E-2</v>
      </c>
    </row>
    <row r="27" spans="8:18" ht="15" customHeight="1" x14ac:dyDescent="0.55000000000000004">
      <c r="H27" s="2">
        <v>1.8</v>
      </c>
      <c r="I27" s="3">
        <f t="shared" si="4"/>
        <v>3.5930319112925768E-2</v>
      </c>
      <c r="J27" s="3">
        <f t="shared" si="4"/>
        <v>3.5147893584038803E-2</v>
      </c>
      <c r="K27" s="3">
        <f t="shared" si="4"/>
        <v>3.4379502445889942E-2</v>
      </c>
      <c r="L27" s="3">
        <f t="shared" si="4"/>
        <v>3.3624969419628337E-2</v>
      </c>
      <c r="M27" s="3">
        <f t="shared" si="4"/>
        <v>3.2884118659163852E-2</v>
      </c>
      <c r="N27" s="3">
        <f t="shared" si="4"/>
        <v>3.2156774795613741E-2</v>
      </c>
      <c r="O27" s="3">
        <f t="shared" si="4"/>
        <v>3.1442762980752659E-2</v>
      </c>
      <c r="P27" s="3">
        <f t="shared" si="4"/>
        <v>3.0741908929465933E-2</v>
      </c>
      <c r="Q27" s="3">
        <f t="shared" si="4"/>
        <v>3.0054038961199736E-2</v>
      </c>
      <c r="R27" s="4">
        <f t="shared" si="4"/>
        <v>2.9378980040409397E-2</v>
      </c>
    </row>
    <row r="28" spans="8:18" ht="15" customHeight="1" x14ac:dyDescent="0.55000000000000004">
      <c r="H28" s="2">
        <v>1.9</v>
      </c>
      <c r="I28" s="3">
        <f t="shared" si="4"/>
        <v>2.8716559816001852E-2</v>
      </c>
      <c r="J28" s="3">
        <f t="shared" si="4"/>
        <v>2.8066606659772564E-2</v>
      </c>
      <c r="K28" s="3">
        <f t="shared" si="4"/>
        <v>2.7428949703836802E-2</v>
      </c>
      <c r="L28" s="3">
        <f t="shared" si="4"/>
        <v>2.6803418877054952E-2</v>
      </c>
      <c r="M28" s="3">
        <f t="shared" si="4"/>
        <v>2.6189844940452733E-2</v>
      </c>
      <c r="N28" s="3">
        <f t="shared" si="4"/>
        <v>2.5588059521638562E-2</v>
      </c>
      <c r="O28" s="3">
        <f t="shared" si="4"/>
        <v>2.4997895148220484E-2</v>
      </c>
      <c r="P28" s="3">
        <f t="shared" si="4"/>
        <v>2.4419185280222577E-2</v>
      </c>
      <c r="Q28" s="3">
        <f t="shared" si="4"/>
        <v>2.3851764341508486E-2</v>
      </c>
      <c r="R28" s="4">
        <f t="shared" si="4"/>
        <v>2.3295467750211851E-2</v>
      </c>
    </row>
    <row r="29" spans="8:18" ht="15" customHeight="1" x14ac:dyDescent="0.55000000000000004">
      <c r="H29" s="2">
        <v>2</v>
      </c>
      <c r="I29" s="3">
        <f t="shared" si="4"/>
        <v>2.2750131948179209E-2</v>
      </c>
      <c r="J29" s="3">
        <f t="shared" si="4"/>
        <v>2.221559442943144E-2</v>
      </c>
      <c r="K29" s="3">
        <f t="shared" si="4"/>
        <v>2.1691693767646791E-2</v>
      </c>
      <c r="L29" s="3">
        <f t="shared" si="4"/>
        <v>2.1178269642672221E-2</v>
      </c>
      <c r="M29" s="3">
        <f t="shared" si="4"/>
        <v>2.0675162866070074E-2</v>
      </c>
      <c r="N29" s="3">
        <f t="shared" si="4"/>
        <v>2.0182215405704418E-2</v>
      </c>
      <c r="O29" s="3">
        <f t="shared" si="4"/>
        <v>1.9699270409376912E-2</v>
      </c>
      <c r="P29" s="3">
        <f t="shared" si="4"/>
        <v>1.9226172227517324E-2</v>
      </c>
      <c r="Q29" s="3">
        <f t="shared" si="4"/>
        <v>1.8762766434937794E-2</v>
      </c>
      <c r="R29" s="4">
        <f t="shared" si="4"/>
        <v>1.8308899851658955E-2</v>
      </c>
    </row>
    <row r="30" spans="8:18" ht="15" customHeight="1" x14ac:dyDescent="0.55000000000000004">
      <c r="H30" s="2"/>
      <c r="I30" s="5"/>
      <c r="J30" s="5"/>
      <c r="K30" s="5"/>
      <c r="L30" s="5"/>
      <c r="M30" s="5"/>
      <c r="N30" s="5"/>
      <c r="O30" s="5"/>
      <c r="P30" s="5"/>
      <c r="Q30" s="5"/>
      <c r="R30" s="6"/>
    </row>
    <row r="31" spans="8:18" ht="15" customHeight="1" x14ac:dyDescent="0.55000000000000004">
      <c r="H31" s="2">
        <v>2.1</v>
      </c>
      <c r="I31" s="3">
        <f t="shared" ref="I31:R35" si="5">1-_xlfn.NORM.DIST($H31+I$4,0,1,TRUE)</f>
        <v>1.7864420562816563E-2</v>
      </c>
      <c r="J31" s="3">
        <f t="shared" si="5"/>
        <v>1.7429177937657081E-2</v>
      </c>
      <c r="K31" s="3">
        <f t="shared" si="5"/>
        <v>1.700302264763276E-2</v>
      </c>
      <c r="L31" s="3">
        <f t="shared" si="5"/>
        <v>1.6585806683604987E-2</v>
      </c>
      <c r="M31" s="3">
        <f t="shared" si="5"/>
        <v>1.6177383372166121E-2</v>
      </c>
      <c r="N31" s="3">
        <f t="shared" si="5"/>
        <v>1.5777607391090465E-2</v>
      </c>
      <c r="O31" s="3">
        <f t="shared" si="5"/>
        <v>1.5386334783925482E-2</v>
      </c>
      <c r="P31" s="3">
        <f t="shared" si="5"/>
        <v>1.500342297373225E-2</v>
      </c>
      <c r="Q31" s="3">
        <f t="shared" si="5"/>
        <v>1.4628730775989252E-2</v>
      </c>
      <c r="R31" s="4">
        <f t="shared" si="5"/>
        <v>1.4262118410668823E-2</v>
      </c>
    </row>
    <row r="32" spans="8:18" ht="15" customHeight="1" x14ac:dyDescent="0.55000000000000004">
      <c r="H32" s="2">
        <v>2.2000000000000002</v>
      </c>
      <c r="I32" s="3">
        <f t="shared" si="5"/>
        <v>1.390344751349859E-2</v>
      </c>
      <c r="J32" s="3">
        <f t="shared" si="5"/>
        <v>1.3552581146419995E-2</v>
      </c>
      <c r="K32" s="3">
        <f t="shared" si="5"/>
        <v>1.3209383807256225E-2</v>
      </c>
      <c r="L32" s="3">
        <f t="shared" si="5"/>
        <v>1.2873721438601993E-2</v>
      </c>
      <c r="M32" s="3">
        <f t="shared" si="5"/>
        <v>1.2545461435946592E-2</v>
      </c>
      <c r="N32" s="3">
        <f t="shared" si="5"/>
        <v>1.2224472655044671E-2</v>
      </c>
      <c r="O32" s="3">
        <f t="shared" si="5"/>
        <v>1.1910625418547038E-2</v>
      </c>
      <c r="P32" s="3">
        <f t="shared" si="5"/>
        <v>1.1603791521903495E-2</v>
      </c>
      <c r="Q32" s="3">
        <f t="shared" si="5"/>
        <v>1.1303844238552796E-2</v>
      </c>
      <c r="R32" s="4">
        <f t="shared" si="5"/>
        <v>1.1010658324411393E-2</v>
      </c>
    </row>
    <row r="33" spans="8:18" ht="15" customHeight="1" x14ac:dyDescent="0.55000000000000004">
      <c r="H33" s="2">
        <v>2.2999999999999998</v>
      </c>
      <c r="I33" s="3">
        <f t="shared" si="5"/>
        <v>1.0724110021675837E-2</v>
      </c>
      <c r="J33" s="3">
        <f t="shared" si="5"/>
        <v>1.0444077061951051E-2</v>
      </c>
      <c r="K33" s="3">
        <f t="shared" si="5"/>
        <v>1.0170438668719695E-2</v>
      </c>
      <c r="L33" s="3">
        <f t="shared" si="5"/>
        <v>9.9030755591642539E-3</v>
      </c>
      <c r="M33" s="3">
        <f t="shared" si="5"/>
        <v>9.6418699453583168E-3</v>
      </c>
      <c r="N33" s="3">
        <f t="shared" si="5"/>
        <v>9.3867055348385575E-3</v>
      </c>
      <c r="O33" s="3">
        <f t="shared" si="5"/>
        <v>9.1374675305726516E-3</v>
      </c>
      <c r="P33" s="3">
        <f t="shared" si="5"/>
        <v>8.8940426303367737E-3</v>
      </c>
      <c r="Q33" s="3">
        <f t="shared" si="5"/>
        <v>8.6563190255165567E-3</v>
      </c>
      <c r="R33" s="4">
        <f t="shared" si="5"/>
        <v>8.4241863993457233E-3</v>
      </c>
    </row>
    <row r="34" spans="8:18" ht="15" customHeight="1" x14ac:dyDescent="0.55000000000000004">
      <c r="H34" s="2">
        <v>2.4</v>
      </c>
      <c r="I34" s="3">
        <f t="shared" si="5"/>
        <v>8.1975359245961554E-3</v>
      </c>
      <c r="J34" s="3">
        <f t="shared" si="5"/>
        <v>7.9762602607337252E-3</v>
      </c>
      <c r="K34" s="3">
        <f t="shared" si="5"/>
        <v>7.760253550553653E-3</v>
      </c>
      <c r="L34" s="3">
        <f t="shared" si="5"/>
        <v>7.5494114163091597E-3</v>
      </c>
      <c r="M34" s="3">
        <f t="shared" si="5"/>
        <v>7.3436309553482904E-3</v>
      </c>
      <c r="N34" s="3">
        <f t="shared" si="5"/>
        <v>7.1428107352714543E-3</v>
      </c>
      <c r="O34" s="3">
        <f t="shared" si="5"/>
        <v>6.9468507886243369E-3</v>
      </c>
      <c r="P34" s="3">
        <f t="shared" si="5"/>
        <v>6.7556526071406164E-3</v>
      </c>
      <c r="Q34" s="3">
        <f t="shared" si="5"/>
        <v>6.5691191355468082E-3</v>
      </c>
      <c r="R34" s="4">
        <f t="shared" si="5"/>
        <v>6.3871547649432259E-3</v>
      </c>
    </row>
    <row r="35" spans="8:18" ht="15" customHeight="1" x14ac:dyDescent="0.55000000000000004">
      <c r="H35" s="2">
        <v>2.5</v>
      </c>
      <c r="I35" s="3">
        <f t="shared" si="5"/>
        <v>6.2096653257761592E-3</v>
      </c>
      <c r="J35" s="3">
        <f t="shared" si="5"/>
        <v>6.0365580804127017E-3</v>
      </c>
      <c r="K35" s="3">
        <f t="shared" si="5"/>
        <v>5.8677417153325528E-3</v>
      </c>
      <c r="L35" s="3">
        <f t="shared" si="5"/>
        <v>5.7031263329506698E-3</v>
      </c>
      <c r="M35" s="3">
        <f t="shared" si="5"/>
        <v>5.5426234430826504E-3</v>
      </c>
      <c r="N35" s="3">
        <f t="shared" si="5"/>
        <v>5.3861459540667234E-3</v>
      </c>
      <c r="O35" s="3">
        <f t="shared" si="5"/>
        <v>5.2336081635557807E-3</v>
      </c>
      <c r="P35" s="3">
        <f t="shared" si="5"/>
        <v>5.0849257489909983E-3</v>
      </c>
      <c r="Q35" s="3">
        <f t="shared" si="5"/>
        <v>4.9400157577705883E-3</v>
      </c>
      <c r="R35" s="4">
        <f t="shared" si="5"/>
        <v>4.7987965971262314E-3</v>
      </c>
    </row>
    <row r="36" spans="8:18" ht="15" customHeight="1" x14ac:dyDescent="0.55000000000000004">
      <c r="H36" s="2"/>
      <c r="I36" s="5"/>
      <c r="J36" s="5"/>
      <c r="K36" s="5"/>
      <c r="L36" s="5"/>
      <c r="M36" s="5"/>
      <c r="N36" s="5"/>
      <c r="O36" s="5"/>
      <c r="P36" s="5"/>
      <c r="Q36" s="5"/>
      <c r="R36" s="6"/>
    </row>
    <row r="37" spans="8:18" ht="15" customHeight="1" x14ac:dyDescent="0.55000000000000004">
      <c r="H37" s="2">
        <v>2.6</v>
      </c>
      <c r="I37" s="3">
        <f t="shared" ref="I37:R41" si="6">1-_xlfn.NORM.DIST($H37+I$4,0,1,TRUE)</f>
        <v>4.661188023718732E-3</v>
      </c>
      <c r="J37" s="3">
        <f t="shared" si="6"/>
        <v>4.5271111329673319E-3</v>
      </c>
      <c r="K37" s="3">
        <f t="shared" si="6"/>
        <v>4.3964883481213413E-3</v>
      </c>
      <c r="L37" s="3">
        <f t="shared" si="6"/>
        <v>4.2692434090892961E-3</v>
      </c>
      <c r="M37" s="3">
        <f t="shared" si="6"/>
        <v>4.14530136103608E-3</v>
      </c>
      <c r="N37" s="3">
        <f t="shared" si="6"/>
        <v>4.0245885427583339E-3</v>
      </c>
      <c r="O37" s="3">
        <f t="shared" si="6"/>
        <v>3.907032574852809E-3</v>
      </c>
      <c r="P37" s="3">
        <f t="shared" si="6"/>
        <v>3.7925623476854353E-3</v>
      </c>
      <c r="Q37" s="3">
        <f t="shared" si="6"/>
        <v>3.6811080091749826E-3</v>
      </c>
      <c r="R37" s="4">
        <f t="shared" si="6"/>
        <v>3.5726009523997515E-3</v>
      </c>
    </row>
    <row r="38" spans="8:18" ht="15" customHeight="1" x14ac:dyDescent="0.55000000000000004">
      <c r="H38" s="2">
        <v>2.7</v>
      </c>
      <c r="I38" s="3">
        <f t="shared" si="6"/>
        <v>3.4669738030406183E-3</v>
      </c>
      <c r="J38" s="3">
        <f t="shared" si="6"/>
        <v>3.3641604066692032E-3</v>
      </c>
      <c r="K38" s="3">
        <f t="shared" si="6"/>
        <v>3.2640958158912659E-3</v>
      </c>
      <c r="L38" s="3">
        <f t="shared" si="6"/>
        <v>3.1667162773577617E-3</v>
      </c>
      <c r="M38" s="3">
        <f t="shared" si="6"/>
        <v>3.0719592186504441E-3</v>
      </c>
      <c r="N38" s="3">
        <f t="shared" si="6"/>
        <v>2.9797632350545555E-3</v>
      </c>
      <c r="O38" s="3">
        <f t="shared" si="6"/>
        <v>2.8900680762261599E-3</v>
      </c>
      <c r="P38" s="3">
        <f t="shared" si="6"/>
        <v>2.8028146327649939E-3</v>
      </c>
      <c r="Q38" s="3">
        <f t="shared" si="6"/>
        <v>2.7179449227012764E-3</v>
      </c>
      <c r="R38" s="4">
        <f t="shared" si="6"/>
        <v>2.6354020779049137E-3</v>
      </c>
    </row>
    <row r="39" spans="8:18" ht="15" customHeight="1" x14ac:dyDescent="0.55000000000000004">
      <c r="H39" s="2">
        <v>2.8</v>
      </c>
      <c r="I39" s="3">
        <f t="shared" si="6"/>
        <v>2.5551303304279793E-3</v>
      </c>
      <c r="J39" s="3">
        <f t="shared" si="6"/>
        <v>2.4770749987859109E-3</v>
      </c>
      <c r="K39" s="3">
        <f t="shared" si="6"/>
        <v>2.4011824741893006E-3</v>
      </c>
      <c r="L39" s="3">
        <f t="shared" si="6"/>
        <v>2.3274002067315003E-3</v>
      </c>
      <c r="M39" s="3">
        <f t="shared" si="6"/>
        <v>2.2556766915423632E-3</v>
      </c>
      <c r="N39" s="3">
        <f t="shared" si="6"/>
        <v>2.1859614549132322E-3</v>
      </c>
      <c r="O39" s="3">
        <f t="shared" si="6"/>
        <v>2.1182050404046082E-3</v>
      </c>
      <c r="P39" s="3">
        <f t="shared" si="6"/>
        <v>2.0523589949397181E-3</v>
      </c>
      <c r="Q39" s="3">
        <f t="shared" si="6"/>
        <v>1.9883758548943087E-3</v>
      </c>
      <c r="R39" s="4">
        <f t="shared" si="6"/>
        <v>1.9262091321878838E-3</v>
      </c>
    </row>
    <row r="40" spans="8:18" ht="15" customHeight="1" x14ac:dyDescent="0.55000000000000004">
      <c r="H40" s="2">
        <v>2.9</v>
      </c>
      <c r="I40" s="3">
        <f t="shared" si="6"/>
        <v>1.8658133003840449E-3</v>
      </c>
      <c r="J40" s="3">
        <f t="shared" si="6"/>
        <v>1.8071437808064861E-3</v>
      </c>
      <c r="K40" s="3">
        <f t="shared" si="6"/>
        <v>1.7501569286760832E-3</v>
      </c>
      <c r="L40" s="3">
        <f t="shared" si="6"/>
        <v>1.694810019277293E-3</v>
      </c>
      <c r="M40" s="3">
        <f t="shared" si="6"/>
        <v>1.6410612341569708E-3</v>
      </c>
      <c r="N40" s="3">
        <f t="shared" si="6"/>
        <v>1.5888696473648212E-3</v>
      </c>
      <c r="O40" s="3">
        <f t="shared" si="6"/>
        <v>1.538195211738036E-3</v>
      </c>
      <c r="P40" s="3">
        <f t="shared" si="6"/>
        <v>1.4889987452374465E-3</v>
      </c>
      <c r="Q40" s="3">
        <f t="shared" si="6"/>
        <v>1.4412419173399638E-3</v>
      </c>
      <c r="R40" s="4">
        <f t="shared" si="6"/>
        <v>1.3948872354923036E-3</v>
      </c>
    </row>
    <row r="41" spans="8:18" ht="15" customHeight="1" thickBot="1" x14ac:dyDescent="0.6">
      <c r="H41" s="7">
        <v>3</v>
      </c>
      <c r="I41" s="8">
        <f t="shared" si="6"/>
        <v>1.3498980316301035E-3</v>
      </c>
      <c r="J41" s="8">
        <f t="shared" si="6"/>
        <v>1.3062384487694256E-3</v>
      </c>
      <c r="K41" s="8">
        <f t="shared" si="6"/>
        <v>1.2638734276723129E-3</v>
      </c>
      <c r="L41" s="8">
        <f t="shared" si="6"/>
        <v>1.2227686935922799E-3</v>
      </c>
      <c r="M41" s="8">
        <f t="shared" si="6"/>
        <v>1.1828907431044033E-3</v>
      </c>
      <c r="N41" s="8">
        <f t="shared" si="6"/>
        <v>1.1442068310226761E-3</v>
      </c>
      <c r="O41" s="8">
        <f t="shared" si="6"/>
        <v>1.1066849574092874E-3</v>
      </c>
      <c r="P41" s="8">
        <f t="shared" si="6"/>
        <v>1.0702938546789387E-3</v>
      </c>
      <c r="Q41" s="8">
        <f t="shared" si="6"/>
        <v>1.0350029748028566E-3</v>
      </c>
      <c r="R41" s="9">
        <f t="shared" si="6"/>
        <v>1.0007824766140594E-3</v>
      </c>
    </row>
    <row r="42" spans="8:18" ht="15" customHeight="1" thickTop="1" x14ac:dyDescent="0.55000000000000004"/>
  </sheetData>
  <mergeCells count="1">
    <mergeCell ref="H2:R2"/>
  </mergeCells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標本不偏分散①</vt:lpstr>
      <vt:lpstr>標本不偏分散②</vt:lpstr>
      <vt:lpstr>標準正規分布表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Ikegawa</dc:creator>
  <cp:lastModifiedBy>Maria Ikegawa</cp:lastModifiedBy>
  <dcterms:created xsi:type="dcterms:W3CDTF">2025-09-02T08:09:35Z</dcterms:created>
  <dcterms:modified xsi:type="dcterms:W3CDTF">2025-09-04T06:41:38Z</dcterms:modified>
</cp:coreProperties>
</file>