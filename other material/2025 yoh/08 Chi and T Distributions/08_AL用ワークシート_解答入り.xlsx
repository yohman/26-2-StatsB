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h/Library/CloudStorage/GoogleDrive-ykawano@reitaku-u.ac.jp/My Drive/git/classes/25-2-Stats-B/Ikegawa material/08_[AL]確率分布_2_連続確率分布/"/>
    </mc:Choice>
  </mc:AlternateContent>
  <xr:revisionPtr revIDLastSave="0" documentId="13_ncr:1_{304A322B-7F23-BA41-8AFC-645BCFBEBA8E}" xr6:coauthVersionLast="47" xr6:coauthVersionMax="47" xr10:uidLastSave="{00000000-0000-0000-0000-000000000000}"/>
  <bookViews>
    <workbookView xWindow="17180" yWindow="-24980" windowWidth="31320" windowHeight="22440" activeTab="4" xr2:uid="{1619192C-3EDD-4E6D-BBFE-580124EDFFF7}"/>
  </bookViews>
  <sheets>
    <sheet name="解答_標本不偏分散①" sheetId="16" r:id="rId1"/>
    <sheet name="標本不偏分散①" sheetId="15" r:id="rId2"/>
    <sheet name="解答_標本不偏分散②" sheetId="17" r:id="rId3"/>
    <sheet name="標本不偏分散②" sheetId="18" r:id="rId4"/>
    <sheet name="解答_標準正規分布表" sheetId="10" r:id="rId5"/>
    <sheet name="標準正規分布表" sheetId="20" r:id="rId6"/>
    <sheet name="元データ" sheetId="14" r:id="rId7"/>
    <sheet name="t分布表" sheetId="11" r:id="rId8"/>
    <sheet name="カイ二乗分布表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6" l="1"/>
  <c r="F11" i="10"/>
  <c r="F10" i="10"/>
  <c r="F9" i="10"/>
  <c r="F8" i="10"/>
  <c r="F7" i="10"/>
  <c r="F6" i="10"/>
  <c r="F5" i="10"/>
  <c r="F4" i="10"/>
  <c r="R41" i="20"/>
  <c r="Q41" i="20"/>
  <c r="P41" i="20"/>
  <c r="O41" i="20"/>
  <c r="N41" i="20"/>
  <c r="M41" i="20"/>
  <c r="L41" i="20"/>
  <c r="K41" i="20"/>
  <c r="J41" i="20"/>
  <c r="I41" i="20"/>
  <c r="R40" i="20"/>
  <c r="Q40" i="20"/>
  <c r="P40" i="20"/>
  <c r="O40" i="20"/>
  <c r="N40" i="20"/>
  <c r="M40" i="20"/>
  <c r="L40" i="20"/>
  <c r="K40" i="20"/>
  <c r="J40" i="20"/>
  <c r="I40" i="20"/>
  <c r="R39" i="20"/>
  <c r="Q39" i="20"/>
  <c r="P39" i="20"/>
  <c r="O39" i="20"/>
  <c r="N39" i="20"/>
  <c r="M39" i="20"/>
  <c r="L39" i="20"/>
  <c r="K39" i="20"/>
  <c r="J39" i="20"/>
  <c r="I39" i="20"/>
  <c r="R38" i="20"/>
  <c r="Q38" i="20"/>
  <c r="P38" i="20"/>
  <c r="O38" i="20"/>
  <c r="N38" i="20"/>
  <c r="M38" i="20"/>
  <c r="L38" i="20"/>
  <c r="K38" i="20"/>
  <c r="J38" i="20"/>
  <c r="I38" i="20"/>
  <c r="R37" i="20"/>
  <c r="Q37" i="20"/>
  <c r="P37" i="20"/>
  <c r="O37" i="20"/>
  <c r="N37" i="20"/>
  <c r="M37" i="20"/>
  <c r="L37" i="20"/>
  <c r="K37" i="20"/>
  <c r="J37" i="20"/>
  <c r="I37" i="20"/>
  <c r="R35" i="20"/>
  <c r="Q35" i="20"/>
  <c r="P35" i="20"/>
  <c r="O35" i="20"/>
  <c r="N35" i="20"/>
  <c r="M35" i="20"/>
  <c r="L35" i="20"/>
  <c r="K35" i="20"/>
  <c r="J35" i="20"/>
  <c r="I35" i="20"/>
  <c r="R34" i="20"/>
  <c r="Q34" i="20"/>
  <c r="P34" i="20"/>
  <c r="O34" i="20"/>
  <c r="N34" i="20"/>
  <c r="M34" i="20"/>
  <c r="L34" i="20"/>
  <c r="K34" i="20"/>
  <c r="J34" i="20"/>
  <c r="I34" i="20"/>
  <c r="R33" i="20"/>
  <c r="Q33" i="20"/>
  <c r="P33" i="20"/>
  <c r="O33" i="20"/>
  <c r="N33" i="20"/>
  <c r="M33" i="20"/>
  <c r="L33" i="20"/>
  <c r="K33" i="20"/>
  <c r="J33" i="20"/>
  <c r="I33" i="20"/>
  <c r="R32" i="20"/>
  <c r="Q32" i="20"/>
  <c r="P32" i="20"/>
  <c r="O32" i="20"/>
  <c r="N32" i="20"/>
  <c r="M32" i="20"/>
  <c r="L32" i="20"/>
  <c r="K32" i="20"/>
  <c r="J32" i="20"/>
  <c r="I32" i="20"/>
  <c r="R31" i="20"/>
  <c r="Q31" i="20"/>
  <c r="P31" i="20"/>
  <c r="O31" i="20"/>
  <c r="N31" i="20"/>
  <c r="M31" i="20"/>
  <c r="L31" i="20"/>
  <c r="K31" i="20"/>
  <c r="J31" i="20"/>
  <c r="I31" i="20"/>
  <c r="R29" i="20"/>
  <c r="Q29" i="20"/>
  <c r="P29" i="20"/>
  <c r="O29" i="20"/>
  <c r="N29" i="20"/>
  <c r="M29" i="20"/>
  <c r="L29" i="20"/>
  <c r="K29" i="20"/>
  <c r="J29" i="20"/>
  <c r="I29" i="20"/>
  <c r="R28" i="20"/>
  <c r="Q28" i="20"/>
  <c r="P28" i="20"/>
  <c r="O28" i="20"/>
  <c r="N28" i="20"/>
  <c r="M28" i="20"/>
  <c r="L28" i="20"/>
  <c r="K28" i="20"/>
  <c r="J28" i="20"/>
  <c r="I28" i="20"/>
  <c r="R27" i="20"/>
  <c r="Q27" i="20"/>
  <c r="P27" i="20"/>
  <c r="O27" i="20"/>
  <c r="N27" i="20"/>
  <c r="M27" i="20"/>
  <c r="L27" i="20"/>
  <c r="K27" i="20"/>
  <c r="J27" i="20"/>
  <c r="I27" i="20"/>
  <c r="R26" i="20"/>
  <c r="Q26" i="20"/>
  <c r="P26" i="20"/>
  <c r="O26" i="20"/>
  <c r="N26" i="20"/>
  <c r="M26" i="20"/>
  <c r="L26" i="20"/>
  <c r="K26" i="20"/>
  <c r="J26" i="20"/>
  <c r="I26" i="20"/>
  <c r="R25" i="20"/>
  <c r="Q25" i="20"/>
  <c r="P25" i="20"/>
  <c r="O25" i="20"/>
  <c r="N25" i="20"/>
  <c r="M25" i="20"/>
  <c r="L25" i="20"/>
  <c r="K25" i="20"/>
  <c r="J25" i="20"/>
  <c r="I25" i="20"/>
  <c r="R23" i="20"/>
  <c r="Q23" i="20"/>
  <c r="P23" i="20"/>
  <c r="O23" i="20"/>
  <c r="N23" i="20"/>
  <c r="M23" i="20"/>
  <c r="L23" i="20"/>
  <c r="K23" i="20"/>
  <c r="J23" i="20"/>
  <c r="I23" i="20"/>
  <c r="R22" i="20"/>
  <c r="Q22" i="20"/>
  <c r="P22" i="20"/>
  <c r="O22" i="20"/>
  <c r="N22" i="20"/>
  <c r="M22" i="20"/>
  <c r="L22" i="20"/>
  <c r="K22" i="20"/>
  <c r="J22" i="20"/>
  <c r="I22" i="20"/>
  <c r="R21" i="20"/>
  <c r="Q21" i="20"/>
  <c r="P21" i="20"/>
  <c r="O21" i="20"/>
  <c r="N21" i="20"/>
  <c r="M21" i="20"/>
  <c r="L21" i="20"/>
  <c r="K21" i="20"/>
  <c r="J21" i="20"/>
  <c r="I21" i="20"/>
  <c r="R20" i="20"/>
  <c r="Q20" i="20"/>
  <c r="P20" i="20"/>
  <c r="O20" i="20"/>
  <c r="N20" i="20"/>
  <c r="M20" i="20"/>
  <c r="L20" i="20"/>
  <c r="K20" i="20"/>
  <c r="J20" i="20"/>
  <c r="I20" i="20"/>
  <c r="R19" i="20"/>
  <c r="Q19" i="20"/>
  <c r="P19" i="20"/>
  <c r="O19" i="20"/>
  <c r="N19" i="20"/>
  <c r="M19" i="20"/>
  <c r="L19" i="20"/>
  <c r="K19" i="20"/>
  <c r="J19" i="20"/>
  <c r="I19" i="20"/>
  <c r="R17" i="20"/>
  <c r="Q17" i="20"/>
  <c r="P17" i="20"/>
  <c r="O17" i="20"/>
  <c r="N17" i="20"/>
  <c r="M17" i="20"/>
  <c r="L17" i="20"/>
  <c r="K17" i="20"/>
  <c r="J17" i="20"/>
  <c r="I17" i="20"/>
  <c r="R16" i="20"/>
  <c r="Q16" i="20"/>
  <c r="P16" i="20"/>
  <c r="O16" i="20"/>
  <c r="N16" i="20"/>
  <c r="M16" i="20"/>
  <c r="L16" i="20"/>
  <c r="K16" i="20"/>
  <c r="J16" i="20"/>
  <c r="I16" i="20"/>
  <c r="R15" i="20"/>
  <c r="Q15" i="20"/>
  <c r="P15" i="20"/>
  <c r="O15" i="20"/>
  <c r="N15" i="20"/>
  <c r="M15" i="20"/>
  <c r="L15" i="20"/>
  <c r="K15" i="20"/>
  <c r="J15" i="20"/>
  <c r="I15" i="20"/>
  <c r="R14" i="20"/>
  <c r="Q14" i="20"/>
  <c r="P14" i="20"/>
  <c r="O14" i="20"/>
  <c r="N14" i="20"/>
  <c r="M14" i="20"/>
  <c r="L14" i="20"/>
  <c r="K14" i="20"/>
  <c r="J14" i="20"/>
  <c r="I14" i="20"/>
  <c r="R13" i="20"/>
  <c r="Q13" i="20"/>
  <c r="P13" i="20"/>
  <c r="O13" i="20"/>
  <c r="N13" i="20"/>
  <c r="M13" i="20"/>
  <c r="L13" i="20"/>
  <c r="K13" i="20"/>
  <c r="J13" i="20"/>
  <c r="I13" i="20"/>
  <c r="R11" i="20"/>
  <c r="Q11" i="20"/>
  <c r="P11" i="20"/>
  <c r="O11" i="20"/>
  <c r="N11" i="20"/>
  <c r="M11" i="20"/>
  <c r="L11" i="20"/>
  <c r="K11" i="20"/>
  <c r="J11" i="20"/>
  <c r="I11" i="20"/>
  <c r="R10" i="20"/>
  <c r="Q10" i="20"/>
  <c r="P10" i="20"/>
  <c r="O10" i="20"/>
  <c r="N10" i="20"/>
  <c r="M10" i="20"/>
  <c r="L10" i="20"/>
  <c r="K10" i="20"/>
  <c r="J10" i="20"/>
  <c r="I10" i="20"/>
  <c r="R9" i="20"/>
  <c r="Q9" i="20"/>
  <c r="P9" i="20"/>
  <c r="O9" i="20"/>
  <c r="N9" i="20"/>
  <c r="M9" i="20"/>
  <c r="L9" i="20"/>
  <c r="K9" i="20"/>
  <c r="J9" i="20"/>
  <c r="I9" i="20"/>
  <c r="R8" i="20"/>
  <c r="Q8" i="20"/>
  <c r="P8" i="20"/>
  <c r="O8" i="20"/>
  <c r="N8" i="20"/>
  <c r="M8" i="20"/>
  <c r="L8" i="20"/>
  <c r="K8" i="20"/>
  <c r="J8" i="20"/>
  <c r="I8" i="20"/>
  <c r="R7" i="20"/>
  <c r="Q7" i="20"/>
  <c r="P7" i="20"/>
  <c r="O7" i="20"/>
  <c r="N7" i="20"/>
  <c r="M7" i="20"/>
  <c r="L7" i="20"/>
  <c r="K7" i="20"/>
  <c r="J7" i="20"/>
  <c r="I7" i="20"/>
  <c r="R5" i="20"/>
  <c r="Q5" i="20"/>
  <c r="P5" i="20"/>
  <c r="O5" i="20"/>
  <c r="N5" i="20"/>
  <c r="M5" i="20"/>
  <c r="L5" i="20"/>
  <c r="K5" i="20"/>
  <c r="J5" i="20"/>
  <c r="I5" i="20"/>
  <c r="E8" i="17" l="1"/>
  <c r="E9" i="17" l="1"/>
  <c r="E10" i="17" s="1"/>
  <c r="I7" i="14" l="1"/>
  <c r="H7" i="14"/>
  <c r="H5" i="14"/>
  <c r="H6" i="14"/>
  <c r="I6" i="14"/>
  <c r="I5" i="14"/>
  <c r="D1" i="16"/>
  <c r="E13" i="16"/>
  <c r="F13" i="16" s="1"/>
  <c r="E9" i="16"/>
  <c r="F9" i="16" s="1"/>
  <c r="J7" i="16"/>
  <c r="J6" i="16"/>
  <c r="I4" i="16"/>
  <c r="E16" i="16" s="1"/>
  <c r="F16" i="16" s="1"/>
  <c r="E7" i="16" l="1"/>
  <c r="F7" i="16" s="1"/>
  <c r="E10" i="16"/>
  <c r="F10" i="16" s="1"/>
  <c r="E14" i="16"/>
  <c r="F14" i="16" s="1"/>
  <c r="E5" i="16"/>
  <c r="F5" i="16" s="1"/>
  <c r="E11" i="16"/>
  <c r="F11" i="16" s="1"/>
  <c r="E15" i="16"/>
  <c r="F15" i="16" s="1"/>
  <c r="E6" i="16"/>
  <c r="F6" i="16" s="1"/>
  <c r="E8" i="16"/>
  <c r="F8" i="16" s="1"/>
  <c r="E12" i="16"/>
  <c r="F12" i="16" s="1"/>
  <c r="I7" i="16" l="1"/>
  <c r="I6" i="16"/>
  <c r="L46" i="13" l="1"/>
  <c r="K46" i="13"/>
  <c r="J46" i="13"/>
  <c r="I46" i="13"/>
  <c r="H46" i="13"/>
  <c r="G46" i="13"/>
  <c r="F46" i="13"/>
  <c r="E46" i="13"/>
  <c r="L45" i="13"/>
  <c r="K45" i="13"/>
  <c r="J45" i="13"/>
  <c r="I45" i="13"/>
  <c r="H45" i="13"/>
  <c r="G45" i="13"/>
  <c r="F45" i="13"/>
  <c r="E45" i="13"/>
  <c r="L44" i="13"/>
  <c r="K44" i="13"/>
  <c r="J44" i="13"/>
  <c r="I44" i="13"/>
  <c r="H44" i="13"/>
  <c r="G44" i="13"/>
  <c r="F44" i="13"/>
  <c r="E44" i="13"/>
  <c r="L43" i="13"/>
  <c r="K43" i="13"/>
  <c r="J43" i="13"/>
  <c r="I43" i="13"/>
  <c r="H43" i="13"/>
  <c r="G43" i="13"/>
  <c r="F43" i="13"/>
  <c r="E43" i="13"/>
  <c r="L42" i="13"/>
  <c r="K42" i="13"/>
  <c r="J42" i="13"/>
  <c r="I42" i="13"/>
  <c r="H42" i="13"/>
  <c r="G42" i="13"/>
  <c r="F42" i="13"/>
  <c r="E42" i="13"/>
  <c r="L40" i="13"/>
  <c r="K40" i="13"/>
  <c r="J40" i="13"/>
  <c r="I40" i="13"/>
  <c r="H40" i="13"/>
  <c r="G40" i="13"/>
  <c r="F40" i="13"/>
  <c r="E40" i="13"/>
  <c r="L39" i="13"/>
  <c r="K39" i="13"/>
  <c r="J39" i="13"/>
  <c r="I39" i="13"/>
  <c r="H39" i="13"/>
  <c r="G39" i="13"/>
  <c r="F39" i="13"/>
  <c r="E39" i="13"/>
  <c r="L38" i="13"/>
  <c r="K38" i="13"/>
  <c r="J38" i="13"/>
  <c r="I38" i="13"/>
  <c r="H38" i="13"/>
  <c r="G38" i="13"/>
  <c r="F38" i="13"/>
  <c r="E38" i="13"/>
  <c r="L37" i="13"/>
  <c r="K37" i="13"/>
  <c r="J37" i="13"/>
  <c r="I37" i="13"/>
  <c r="H37" i="13"/>
  <c r="G37" i="13"/>
  <c r="F37" i="13"/>
  <c r="E37" i="13"/>
  <c r="L36" i="13"/>
  <c r="K36" i="13"/>
  <c r="J36" i="13"/>
  <c r="I36" i="13"/>
  <c r="H36" i="13"/>
  <c r="G36" i="13"/>
  <c r="F36" i="13"/>
  <c r="E36" i="13"/>
  <c r="L34" i="13"/>
  <c r="K34" i="13"/>
  <c r="J34" i="13"/>
  <c r="I34" i="13"/>
  <c r="H34" i="13"/>
  <c r="G34" i="13"/>
  <c r="F34" i="13"/>
  <c r="E34" i="13"/>
  <c r="L33" i="13"/>
  <c r="K33" i="13"/>
  <c r="J33" i="13"/>
  <c r="I33" i="13"/>
  <c r="H33" i="13"/>
  <c r="G33" i="13"/>
  <c r="F33" i="13"/>
  <c r="E33" i="13"/>
  <c r="L32" i="13"/>
  <c r="K32" i="13"/>
  <c r="J32" i="13"/>
  <c r="I32" i="13"/>
  <c r="H32" i="13"/>
  <c r="G32" i="13"/>
  <c r="F32" i="13"/>
  <c r="E32" i="13"/>
  <c r="L31" i="13"/>
  <c r="K31" i="13"/>
  <c r="J31" i="13"/>
  <c r="I31" i="13"/>
  <c r="H31" i="13"/>
  <c r="G31" i="13"/>
  <c r="F31" i="13"/>
  <c r="E31" i="13"/>
  <c r="L30" i="13"/>
  <c r="K30" i="13"/>
  <c r="J30" i="13"/>
  <c r="I30" i="13"/>
  <c r="H30" i="13"/>
  <c r="G30" i="13"/>
  <c r="F30" i="13"/>
  <c r="E30" i="13"/>
  <c r="L28" i="13"/>
  <c r="K28" i="13"/>
  <c r="J28" i="13"/>
  <c r="I28" i="13"/>
  <c r="H28" i="13"/>
  <c r="G28" i="13"/>
  <c r="F28" i="13"/>
  <c r="E28" i="13"/>
  <c r="L27" i="13"/>
  <c r="K27" i="13"/>
  <c r="J27" i="13"/>
  <c r="I27" i="13"/>
  <c r="H27" i="13"/>
  <c r="G27" i="13"/>
  <c r="F27" i="13"/>
  <c r="E27" i="13"/>
  <c r="L26" i="13"/>
  <c r="K26" i="13"/>
  <c r="J26" i="13"/>
  <c r="I26" i="13"/>
  <c r="H26" i="13"/>
  <c r="G26" i="13"/>
  <c r="F26" i="13"/>
  <c r="E26" i="13"/>
  <c r="L25" i="13"/>
  <c r="K25" i="13"/>
  <c r="J25" i="13"/>
  <c r="I25" i="13"/>
  <c r="H25" i="13"/>
  <c r="G25" i="13"/>
  <c r="F25" i="13"/>
  <c r="E25" i="13"/>
  <c r="L24" i="13"/>
  <c r="K24" i="13"/>
  <c r="J24" i="13"/>
  <c r="I24" i="13"/>
  <c r="H24" i="13"/>
  <c r="G24" i="13"/>
  <c r="F24" i="13"/>
  <c r="E24" i="13"/>
  <c r="L22" i="13"/>
  <c r="K22" i="13"/>
  <c r="J22" i="13"/>
  <c r="I22" i="13"/>
  <c r="H22" i="13"/>
  <c r="G22" i="13"/>
  <c r="F22" i="13"/>
  <c r="E22" i="13"/>
  <c r="L21" i="13"/>
  <c r="K21" i="13"/>
  <c r="J21" i="13"/>
  <c r="I21" i="13"/>
  <c r="H21" i="13"/>
  <c r="G21" i="13"/>
  <c r="F21" i="13"/>
  <c r="E21" i="13"/>
  <c r="L20" i="13"/>
  <c r="K20" i="13"/>
  <c r="J20" i="13"/>
  <c r="I20" i="13"/>
  <c r="H20" i="13"/>
  <c r="G20" i="13"/>
  <c r="F20" i="13"/>
  <c r="E20" i="13"/>
  <c r="L19" i="13"/>
  <c r="K19" i="13"/>
  <c r="J19" i="13"/>
  <c r="I19" i="13"/>
  <c r="H19" i="13"/>
  <c r="G19" i="13"/>
  <c r="F19" i="13"/>
  <c r="E19" i="13"/>
  <c r="L18" i="13"/>
  <c r="K18" i="13"/>
  <c r="J18" i="13"/>
  <c r="I18" i="13"/>
  <c r="H18" i="13"/>
  <c r="G18" i="13"/>
  <c r="F18" i="13"/>
  <c r="E18" i="13"/>
  <c r="L16" i="13"/>
  <c r="K16" i="13"/>
  <c r="J16" i="13"/>
  <c r="I16" i="13"/>
  <c r="H16" i="13"/>
  <c r="G16" i="13"/>
  <c r="F16" i="13"/>
  <c r="E16" i="13"/>
  <c r="L15" i="13"/>
  <c r="K15" i="13"/>
  <c r="J15" i="13"/>
  <c r="I15" i="13"/>
  <c r="H15" i="13"/>
  <c r="G15" i="13"/>
  <c r="F15" i="13"/>
  <c r="E15" i="13"/>
  <c r="L14" i="13"/>
  <c r="K14" i="13"/>
  <c r="J14" i="13"/>
  <c r="I14" i="13"/>
  <c r="H14" i="13"/>
  <c r="G14" i="13"/>
  <c r="F14" i="13"/>
  <c r="E14" i="13"/>
  <c r="L13" i="13"/>
  <c r="K13" i="13"/>
  <c r="J13" i="13"/>
  <c r="I13" i="13"/>
  <c r="H13" i="13"/>
  <c r="G13" i="13"/>
  <c r="F13" i="13"/>
  <c r="E13" i="13"/>
  <c r="L12" i="13"/>
  <c r="K12" i="13"/>
  <c r="J12" i="13"/>
  <c r="I12" i="13"/>
  <c r="H12" i="13"/>
  <c r="G12" i="13"/>
  <c r="F12" i="13"/>
  <c r="E12" i="13"/>
  <c r="L10" i="13"/>
  <c r="K10" i="13"/>
  <c r="J10" i="13"/>
  <c r="I10" i="13"/>
  <c r="H10" i="13"/>
  <c r="G10" i="13"/>
  <c r="F10" i="13"/>
  <c r="E10" i="13"/>
  <c r="L9" i="13"/>
  <c r="K9" i="13"/>
  <c r="J9" i="13"/>
  <c r="I9" i="13"/>
  <c r="H9" i="13"/>
  <c r="G9" i="13"/>
  <c r="F9" i="13"/>
  <c r="E9" i="13"/>
  <c r="L8" i="13"/>
  <c r="K8" i="13"/>
  <c r="J8" i="13"/>
  <c r="I8" i="13"/>
  <c r="H8" i="13"/>
  <c r="G8" i="13"/>
  <c r="F8" i="13"/>
  <c r="E8" i="13"/>
  <c r="L7" i="13"/>
  <c r="K7" i="13"/>
  <c r="J7" i="13"/>
  <c r="I7" i="13"/>
  <c r="H7" i="13"/>
  <c r="G7" i="13"/>
  <c r="F7" i="13"/>
  <c r="E7" i="13"/>
  <c r="L6" i="13"/>
  <c r="K6" i="13"/>
  <c r="J6" i="13"/>
  <c r="I6" i="13"/>
  <c r="H6" i="13"/>
  <c r="G6" i="13"/>
  <c r="F6" i="13"/>
  <c r="E6" i="13"/>
  <c r="L46" i="11" l="1"/>
  <c r="K46" i="11"/>
  <c r="J46" i="11"/>
  <c r="I46" i="11"/>
  <c r="H46" i="11"/>
  <c r="G46" i="11"/>
  <c r="F46" i="11"/>
  <c r="E46" i="11"/>
  <c r="L45" i="11"/>
  <c r="K45" i="11"/>
  <c r="J45" i="11"/>
  <c r="I45" i="11"/>
  <c r="H45" i="11"/>
  <c r="G45" i="11"/>
  <c r="F45" i="11"/>
  <c r="E45" i="11"/>
  <c r="L44" i="11"/>
  <c r="K44" i="11"/>
  <c r="J44" i="11"/>
  <c r="I44" i="11"/>
  <c r="H44" i="11"/>
  <c r="G44" i="11"/>
  <c r="F44" i="11"/>
  <c r="E44" i="11"/>
  <c r="L43" i="11"/>
  <c r="K43" i="11"/>
  <c r="J43" i="11"/>
  <c r="I43" i="11"/>
  <c r="H43" i="11"/>
  <c r="G43" i="11"/>
  <c r="F43" i="11"/>
  <c r="E43" i="11"/>
  <c r="L42" i="11"/>
  <c r="K42" i="11"/>
  <c r="J42" i="11"/>
  <c r="I42" i="11"/>
  <c r="H42" i="11"/>
  <c r="G42" i="11"/>
  <c r="F42" i="11"/>
  <c r="E42" i="11"/>
  <c r="L40" i="11"/>
  <c r="K40" i="11"/>
  <c r="J40" i="11"/>
  <c r="I40" i="11"/>
  <c r="H40" i="11"/>
  <c r="G40" i="11"/>
  <c r="F40" i="11"/>
  <c r="E40" i="11"/>
  <c r="L39" i="11"/>
  <c r="K39" i="11"/>
  <c r="J39" i="11"/>
  <c r="I39" i="11"/>
  <c r="H39" i="11"/>
  <c r="G39" i="11"/>
  <c r="F39" i="11"/>
  <c r="E39" i="11"/>
  <c r="L38" i="11"/>
  <c r="K38" i="11"/>
  <c r="J38" i="11"/>
  <c r="I38" i="11"/>
  <c r="H38" i="11"/>
  <c r="G38" i="11"/>
  <c r="F38" i="11"/>
  <c r="E38" i="11"/>
  <c r="L37" i="11"/>
  <c r="K37" i="11"/>
  <c r="J37" i="11"/>
  <c r="I37" i="11"/>
  <c r="H37" i="11"/>
  <c r="G37" i="11"/>
  <c r="F37" i="11"/>
  <c r="E37" i="11"/>
  <c r="L36" i="11"/>
  <c r="K36" i="11"/>
  <c r="J36" i="11"/>
  <c r="I36" i="11"/>
  <c r="H36" i="11"/>
  <c r="G36" i="11"/>
  <c r="F36" i="11"/>
  <c r="E36" i="11"/>
  <c r="L34" i="11"/>
  <c r="K34" i="11"/>
  <c r="J34" i="11"/>
  <c r="I34" i="11"/>
  <c r="H34" i="11"/>
  <c r="G34" i="11"/>
  <c r="F34" i="11"/>
  <c r="E34" i="11"/>
  <c r="L33" i="11"/>
  <c r="K33" i="11"/>
  <c r="J33" i="11"/>
  <c r="I33" i="11"/>
  <c r="H33" i="11"/>
  <c r="G33" i="11"/>
  <c r="F33" i="11"/>
  <c r="E33" i="11"/>
  <c r="L32" i="11"/>
  <c r="K32" i="11"/>
  <c r="J32" i="11"/>
  <c r="I32" i="11"/>
  <c r="H32" i="11"/>
  <c r="G32" i="11"/>
  <c r="F32" i="11"/>
  <c r="E32" i="11"/>
  <c r="L31" i="11"/>
  <c r="K31" i="11"/>
  <c r="J31" i="11"/>
  <c r="I31" i="11"/>
  <c r="H31" i="11"/>
  <c r="G31" i="11"/>
  <c r="F31" i="11"/>
  <c r="E31" i="11"/>
  <c r="L30" i="11"/>
  <c r="K30" i="11"/>
  <c r="J30" i="11"/>
  <c r="I30" i="11"/>
  <c r="H30" i="11"/>
  <c r="G30" i="11"/>
  <c r="F30" i="11"/>
  <c r="E30" i="11"/>
  <c r="L28" i="11"/>
  <c r="K28" i="11"/>
  <c r="J28" i="11"/>
  <c r="I28" i="11"/>
  <c r="H28" i="11"/>
  <c r="G28" i="11"/>
  <c r="F28" i="11"/>
  <c r="E28" i="11"/>
  <c r="L27" i="11"/>
  <c r="K27" i="11"/>
  <c r="J27" i="11"/>
  <c r="I27" i="11"/>
  <c r="H27" i="11"/>
  <c r="G27" i="11"/>
  <c r="F27" i="11"/>
  <c r="E27" i="11"/>
  <c r="L26" i="11"/>
  <c r="K26" i="11"/>
  <c r="J26" i="11"/>
  <c r="I26" i="11"/>
  <c r="H26" i="11"/>
  <c r="G26" i="11"/>
  <c r="F26" i="11"/>
  <c r="E26" i="11"/>
  <c r="L25" i="11"/>
  <c r="K25" i="11"/>
  <c r="J25" i="11"/>
  <c r="I25" i="11"/>
  <c r="H25" i="11"/>
  <c r="G25" i="11"/>
  <c r="F25" i="11"/>
  <c r="E25" i="11"/>
  <c r="L24" i="11"/>
  <c r="K24" i="11"/>
  <c r="J24" i="11"/>
  <c r="I24" i="11"/>
  <c r="H24" i="11"/>
  <c r="G24" i="11"/>
  <c r="F24" i="11"/>
  <c r="E24" i="11"/>
  <c r="L22" i="11"/>
  <c r="K22" i="11"/>
  <c r="J22" i="11"/>
  <c r="I22" i="11"/>
  <c r="H22" i="11"/>
  <c r="G22" i="11"/>
  <c r="F22" i="11"/>
  <c r="E22" i="11"/>
  <c r="L21" i="11"/>
  <c r="K21" i="11"/>
  <c r="J21" i="11"/>
  <c r="I21" i="11"/>
  <c r="H21" i="11"/>
  <c r="G21" i="11"/>
  <c r="F21" i="11"/>
  <c r="E21" i="11"/>
  <c r="L20" i="11"/>
  <c r="K20" i="11"/>
  <c r="J20" i="11"/>
  <c r="I20" i="11"/>
  <c r="H20" i="11"/>
  <c r="G20" i="11"/>
  <c r="F20" i="11"/>
  <c r="E20" i="11"/>
  <c r="L19" i="11"/>
  <c r="K19" i="11"/>
  <c r="J19" i="11"/>
  <c r="I19" i="11"/>
  <c r="H19" i="11"/>
  <c r="G19" i="11"/>
  <c r="F19" i="11"/>
  <c r="E19" i="11"/>
  <c r="L18" i="11"/>
  <c r="K18" i="11"/>
  <c r="J18" i="11"/>
  <c r="I18" i="11"/>
  <c r="H18" i="11"/>
  <c r="G18" i="11"/>
  <c r="F18" i="11"/>
  <c r="E18" i="11"/>
  <c r="L16" i="11"/>
  <c r="K16" i="11"/>
  <c r="J16" i="11"/>
  <c r="I16" i="11"/>
  <c r="H16" i="11"/>
  <c r="G16" i="11"/>
  <c r="F16" i="11"/>
  <c r="E16" i="11"/>
  <c r="L15" i="11"/>
  <c r="K15" i="11"/>
  <c r="J15" i="11"/>
  <c r="I15" i="11"/>
  <c r="H15" i="11"/>
  <c r="G15" i="11"/>
  <c r="F15" i="11"/>
  <c r="E15" i="11"/>
  <c r="L14" i="11"/>
  <c r="K14" i="11"/>
  <c r="J14" i="11"/>
  <c r="I14" i="11"/>
  <c r="H14" i="11"/>
  <c r="G14" i="11"/>
  <c r="F14" i="11"/>
  <c r="E14" i="11"/>
  <c r="L13" i="11"/>
  <c r="K13" i="11"/>
  <c r="J13" i="11"/>
  <c r="I13" i="11"/>
  <c r="H13" i="11"/>
  <c r="G13" i="11"/>
  <c r="F13" i="11"/>
  <c r="E13" i="11"/>
  <c r="L12" i="11"/>
  <c r="K12" i="11"/>
  <c r="J12" i="11"/>
  <c r="I12" i="11"/>
  <c r="H12" i="11"/>
  <c r="G12" i="11"/>
  <c r="F12" i="11"/>
  <c r="E12" i="11"/>
  <c r="L10" i="11"/>
  <c r="K10" i="11"/>
  <c r="J10" i="11"/>
  <c r="I10" i="11"/>
  <c r="H10" i="11"/>
  <c r="G10" i="11"/>
  <c r="F10" i="11"/>
  <c r="E10" i="11"/>
  <c r="L9" i="11"/>
  <c r="K9" i="11"/>
  <c r="J9" i="11"/>
  <c r="I9" i="11"/>
  <c r="H9" i="11"/>
  <c r="G9" i="11"/>
  <c r="F9" i="11"/>
  <c r="E9" i="11"/>
  <c r="L8" i="11"/>
  <c r="K8" i="11"/>
  <c r="J8" i="11"/>
  <c r="I8" i="11"/>
  <c r="H8" i="11"/>
  <c r="G8" i="11"/>
  <c r="F8" i="11"/>
  <c r="E8" i="11"/>
  <c r="L7" i="11"/>
  <c r="K7" i="11"/>
  <c r="J7" i="11"/>
  <c r="I7" i="11"/>
  <c r="H7" i="11"/>
  <c r="G7" i="11"/>
  <c r="F7" i="11"/>
  <c r="E7" i="11"/>
  <c r="L6" i="11"/>
  <c r="K6" i="11"/>
  <c r="J6" i="11"/>
  <c r="I6" i="11"/>
  <c r="H6" i="11"/>
  <c r="G6" i="11"/>
  <c r="F6" i="11"/>
  <c r="E6" i="11"/>
  <c r="R41" i="10" l="1"/>
  <c r="Q41" i="10"/>
  <c r="P41" i="10"/>
  <c r="O41" i="10"/>
  <c r="N41" i="10"/>
  <c r="M41" i="10"/>
  <c r="L41" i="10"/>
  <c r="K41" i="10"/>
  <c r="J41" i="10"/>
  <c r="I41" i="10"/>
  <c r="R40" i="10"/>
  <c r="Q40" i="10"/>
  <c r="P40" i="10"/>
  <c r="O40" i="10"/>
  <c r="N40" i="10"/>
  <c r="M40" i="10"/>
  <c r="L40" i="10"/>
  <c r="K40" i="10"/>
  <c r="J40" i="10"/>
  <c r="I40" i="10"/>
  <c r="R39" i="10"/>
  <c r="Q39" i="10"/>
  <c r="P39" i="10"/>
  <c r="O39" i="10"/>
  <c r="N39" i="10"/>
  <c r="M39" i="10"/>
  <c r="L39" i="10"/>
  <c r="K39" i="10"/>
  <c r="J39" i="10"/>
  <c r="I39" i="10"/>
  <c r="R38" i="10"/>
  <c r="Q38" i="10"/>
  <c r="P38" i="10"/>
  <c r="O38" i="10"/>
  <c r="N38" i="10"/>
  <c r="M38" i="10"/>
  <c r="L38" i="10"/>
  <c r="K38" i="10"/>
  <c r="J38" i="10"/>
  <c r="I38" i="10"/>
  <c r="R37" i="10"/>
  <c r="Q37" i="10"/>
  <c r="P37" i="10"/>
  <c r="O37" i="10"/>
  <c r="N37" i="10"/>
  <c r="M37" i="10"/>
  <c r="L37" i="10"/>
  <c r="K37" i="10"/>
  <c r="J37" i="10"/>
  <c r="I37" i="10"/>
  <c r="R35" i="10"/>
  <c r="Q35" i="10"/>
  <c r="P35" i="10"/>
  <c r="O35" i="10"/>
  <c r="N35" i="10"/>
  <c r="M35" i="10"/>
  <c r="L35" i="10"/>
  <c r="K35" i="10"/>
  <c r="J35" i="10"/>
  <c r="I35" i="10"/>
  <c r="R34" i="10"/>
  <c r="Q34" i="10"/>
  <c r="P34" i="10"/>
  <c r="O34" i="10"/>
  <c r="N34" i="10"/>
  <c r="M34" i="10"/>
  <c r="L34" i="10"/>
  <c r="K34" i="10"/>
  <c r="J34" i="10"/>
  <c r="I34" i="10"/>
  <c r="R33" i="10"/>
  <c r="Q33" i="10"/>
  <c r="P33" i="10"/>
  <c r="O33" i="10"/>
  <c r="N33" i="10"/>
  <c r="M33" i="10"/>
  <c r="L33" i="10"/>
  <c r="K33" i="10"/>
  <c r="J33" i="10"/>
  <c r="I33" i="10"/>
  <c r="R32" i="10"/>
  <c r="Q32" i="10"/>
  <c r="P32" i="10"/>
  <c r="O32" i="10"/>
  <c r="N32" i="10"/>
  <c r="M32" i="10"/>
  <c r="L32" i="10"/>
  <c r="K32" i="10"/>
  <c r="J32" i="10"/>
  <c r="I32" i="10"/>
  <c r="R31" i="10"/>
  <c r="Q31" i="10"/>
  <c r="P31" i="10"/>
  <c r="O31" i="10"/>
  <c r="N31" i="10"/>
  <c r="M31" i="10"/>
  <c r="L31" i="10"/>
  <c r="K31" i="10"/>
  <c r="J31" i="10"/>
  <c r="I31" i="10"/>
  <c r="R29" i="10"/>
  <c r="Q29" i="10"/>
  <c r="P29" i="10"/>
  <c r="O29" i="10"/>
  <c r="N29" i="10"/>
  <c r="M29" i="10"/>
  <c r="L29" i="10"/>
  <c r="K29" i="10"/>
  <c r="J29" i="10"/>
  <c r="E7" i="10" s="1"/>
  <c r="I29" i="10"/>
  <c r="R28" i="10"/>
  <c r="Q28" i="10"/>
  <c r="P28" i="10"/>
  <c r="O28" i="10"/>
  <c r="N28" i="10"/>
  <c r="M28" i="10"/>
  <c r="L28" i="10"/>
  <c r="K28" i="10"/>
  <c r="J28" i="10"/>
  <c r="I28" i="10"/>
  <c r="R27" i="10"/>
  <c r="Q27" i="10"/>
  <c r="P27" i="10"/>
  <c r="O27" i="10"/>
  <c r="N27" i="10"/>
  <c r="M27" i="10"/>
  <c r="L27" i="10"/>
  <c r="K27" i="10"/>
  <c r="J27" i="10"/>
  <c r="I27" i="10"/>
  <c r="R26" i="10"/>
  <c r="Q26" i="10"/>
  <c r="P26" i="10"/>
  <c r="O26" i="10"/>
  <c r="N26" i="10"/>
  <c r="M26" i="10"/>
  <c r="L26" i="10"/>
  <c r="K26" i="10"/>
  <c r="J26" i="10"/>
  <c r="I26" i="10"/>
  <c r="R25" i="10"/>
  <c r="Q25" i="10"/>
  <c r="P25" i="10"/>
  <c r="O25" i="10"/>
  <c r="N25" i="10"/>
  <c r="M25" i="10"/>
  <c r="L25" i="10"/>
  <c r="K25" i="10"/>
  <c r="J25" i="10"/>
  <c r="I25" i="10"/>
  <c r="R23" i="10"/>
  <c r="Q23" i="10"/>
  <c r="P23" i="10"/>
  <c r="O23" i="10"/>
  <c r="N23" i="10"/>
  <c r="M23" i="10"/>
  <c r="L23" i="10"/>
  <c r="K23" i="10"/>
  <c r="J23" i="10"/>
  <c r="I23" i="10"/>
  <c r="R22" i="10"/>
  <c r="Q22" i="10"/>
  <c r="P22" i="10"/>
  <c r="O22" i="10"/>
  <c r="N22" i="10"/>
  <c r="M22" i="10"/>
  <c r="L22" i="10"/>
  <c r="K22" i="10"/>
  <c r="J22" i="10"/>
  <c r="I22" i="10"/>
  <c r="R21" i="10"/>
  <c r="Q21" i="10"/>
  <c r="P21" i="10"/>
  <c r="O21" i="10"/>
  <c r="N21" i="10"/>
  <c r="M21" i="10"/>
  <c r="L21" i="10"/>
  <c r="K21" i="10"/>
  <c r="J21" i="10"/>
  <c r="I21" i="10"/>
  <c r="R20" i="10"/>
  <c r="Q20" i="10"/>
  <c r="P20" i="10"/>
  <c r="O20" i="10"/>
  <c r="N20" i="10"/>
  <c r="M20" i="10"/>
  <c r="L20" i="10"/>
  <c r="K20" i="10"/>
  <c r="J20" i="10"/>
  <c r="I20" i="10"/>
  <c r="R19" i="10"/>
  <c r="Q19" i="10"/>
  <c r="P19" i="10"/>
  <c r="O19" i="10"/>
  <c r="N19" i="10"/>
  <c r="M19" i="10"/>
  <c r="L19" i="10"/>
  <c r="K19" i="10"/>
  <c r="J19" i="10"/>
  <c r="I19" i="10"/>
  <c r="R17" i="10"/>
  <c r="Q17" i="10"/>
  <c r="P17" i="10"/>
  <c r="O17" i="10"/>
  <c r="N17" i="10"/>
  <c r="M17" i="10"/>
  <c r="L17" i="10"/>
  <c r="K17" i="10"/>
  <c r="J17" i="10"/>
  <c r="I17" i="10"/>
  <c r="E5" i="10" s="1"/>
  <c r="R16" i="10"/>
  <c r="Q16" i="10"/>
  <c r="P16" i="10"/>
  <c r="O16" i="10"/>
  <c r="N16" i="10"/>
  <c r="M16" i="10"/>
  <c r="L16" i="10"/>
  <c r="K16" i="10"/>
  <c r="J16" i="10"/>
  <c r="I16" i="10"/>
  <c r="R15" i="10"/>
  <c r="Q15" i="10"/>
  <c r="P15" i="10"/>
  <c r="O15" i="10"/>
  <c r="N15" i="10"/>
  <c r="M15" i="10"/>
  <c r="L15" i="10"/>
  <c r="K15" i="10"/>
  <c r="J15" i="10"/>
  <c r="I15" i="10"/>
  <c r="R14" i="10"/>
  <c r="Q14" i="10"/>
  <c r="P14" i="10"/>
  <c r="O14" i="10"/>
  <c r="N14" i="10"/>
  <c r="M14" i="10"/>
  <c r="L14" i="10"/>
  <c r="K14" i="10"/>
  <c r="J14" i="10"/>
  <c r="I14" i="10"/>
  <c r="R13" i="10"/>
  <c r="Q13" i="10"/>
  <c r="P13" i="10"/>
  <c r="O13" i="10"/>
  <c r="N13" i="10"/>
  <c r="M13" i="10"/>
  <c r="L13" i="10"/>
  <c r="K13" i="10"/>
  <c r="J13" i="10"/>
  <c r="I13" i="10"/>
  <c r="R11" i="10"/>
  <c r="Q11" i="10"/>
  <c r="P11" i="10"/>
  <c r="O11" i="10"/>
  <c r="N11" i="10"/>
  <c r="M11" i="10"/>
  <c r="L11" i="10"/>
  <c r="K11" i="10"/>
  <c r="J11" i="10"/>
  <c r="I11" i="10"/>
  <c r="R10" i="10"/>
  <c r="Q10" i="10"/>
  <c r="P10" i="10"/>
  <c r="O10" i="10"/>
  <c r="N10" i="10"/>
  <c r="M10" i="10"/>
  <c r="L10" i="10"/>
  <c r="K10" i="10"/>
  <c r="J10" i="10"/>
  <c r="I10" i="10"/>
  <c r="R9" i="10"/>
  <c r="Q9" i="10"/>
  <c r="P9" i="10"/>
  <c r="O9" i="10"/>
  <c r="N9" i="10"/>
  <c r="M9" i="10"/>
  <c r="L9" i="10"/>
  <c r="K9" i="10"/>
  <c r="J9" i="10"/>
  <c r="I9" i="10"/>
  <c r="R8" i="10"/>
  <c r="Q8" i="10"/>
  <c r="P8" i="10"/>
  <c r="O8" i="10"/>
  <c r="N8" i="10"/>
  <c r="M8" i="10"/>
  <c r="L8" i="10"/>
  <c r="K8" i="10"/>
  <c r="J8" i="10"/>
  <c r="I8" i="10"/>
  <c r="R7" i="10"/>
  <c r="Q7" i="10"/>
  <c r="P7" i="10"/>
  <c r="O7" i="10"/>
  <c r="N7" i="10"/>
  <c r="M7" i="10"/>
  <c r="L7" i="10"/>
  <c r="K7" i="10"/>
  <c r="J7" i="10"/>
  <c r="I7" i="10"/>
  <c r="R5" i="10"/>
  <c r="Q5" i="10"/>
  <c r="P5" i="10"/>
  <c r="O5" i="10"/>
  <c r="N5" i="10"/>
  <c r="E11" i="10" s="1"/>
  <c r="M5" i="10"/>
  <c r="L5" i="10"/>
  <c r="E6" i="10" s="1"/>
  <c r="K5" i="10"/>
  <c r="J5" i="10"/>
  <c r="I5" i="10"/>
  <c r="E9" i="10" l="1"/>
  <c r="E4" i="10"/>
  <c r="E10" i="10"/>
</calcChain>
</file>

<file path=xl/sharedStrings.xml><?xml version="1.0" encoding="utf-8"?>
<sst xmlns="http://schemas.openxmlformats.org/spreadsheetml/2006/main" count="731" uniqueCount="63">
  <si>
    <t>z</t>
    <phoneticPr fontId="1"/>
  </si>
  <si>
    <t>標準正規分布表</t>
    <rPh sb="0" eb="7">
      <t>ヒョウジュンセイキブンプヒョウ</t>
    </rPh>
    <phoneticPr fontId="1"/>
  </si>
  <si>
    <t>t分布表</t>
    <rPh sb="1" eb="3">
      <t>ブンプ</t>
    </rPh>
    <rPh sb="3" eb="4">
      <t>ヒョウ</t>
    </rPh>
    <phoneticPr fontId="1"/>
  </si>
  <si>
    <t>a</t>
    <phoneticPr fontId="1"/>
  </si>
  <si>
    <t>ν</t>
    <phoneticPr fontId="1"/>
  </si>
  <si>
    <t>∞</t>
    <phoneticPr fontId="1"/>
  </si>
  <si>
    <t>カイ二乗分布表</t>
    <rPh sb="2" eb="4">
      <t>ジジョウ</t>
    </rPh>
    <rPh sb="4" eb="6">
      <t>ブンプ</t>
    </rPh>
    <rPh sb="6" eb="7">
      <t>ヒョウ</t>
    </rPh>
    <phoneticPr fontId="1"/>
  </si>
  <si>
    <t>year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</si>
  <si>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</si>
  <si>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</si>
  <si>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</si>
  <si>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</si>
  <si>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</si>
  <si>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</si>
  <si>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</si>
  <si>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</si>
  <si>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</si>
  <si>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</si>
  <si>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</si>
  <si>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</si>
  <si>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</si>
  <si>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千葉県の1975年1月から2024年12月までの，月平均気温（平均気温）と日最高気温30℃以上日数（猛暑日日数）</t>
    <rPh sb="0" eb="3">
      <t>チバケン</t>
    </rPh>
    <rPh sb="8" eb="9">
      <t>ネン</t>
    </rPh>
    <rPh sb="10" eb="11">
      <t>ガツ</t>
    </rPh>
    <rPh sb="17" eb="18">
      <t>ネン</t>
    </rPh>
    <rPh sb="20" eb="21">
      <t>ガツ</t>
    </rPh>
    <rPh sb="25" eb="26">
      <t>ツキ</t>
    </rPh>
    <rPh sb="26" eb="30">
      <t>ヘイキンキオン</t>
    </rPh>
    <rPh sb="31" eb="35">
      <t>ヘイキンキオン</t>
    </rPh>
    <rPh sb="50" eb="53">
      <t>モウショビ</t>
    </rPh>
    <rPh sb="53" eb="55">
      <t>ニッスウ</t>
    </rPh>
    <phoneticPr fontId="1"/>
  </si>
  <si>
    <t>平均気温</t>
    <rPh sb="0" eb="4">
      <t>ヘイキンキオン</t>
    </rPh>
    <phoneticPr fontId="1"/>
  </si>
  <si>
    <t>猛暑日日数</t>
    <rPh sb="0" eb="3">
      <t>モウショビ</t>
    </rPh>
    <rPh sb="3" eb="5">
      <t>ニッスウ</t>
    </rPh>
    <phoneticPr fontId="1"/>
  </si>
  <si>
    <t>千葉県の2024年の月別月平均気温（平均気温）の標本不偏分散を求めよ．</t>
    <rPh sb="0" eb="3">
      <t>チバケン</t>
    </rPh>
    <rPh sb="8" eb="9">
      <t>ネン</t>
    </rPh>
    <rPh sb="10" eb="12">
      <t>ツキベツ</t>
    </rPh>
    <rPh sb="12" eb="13">
      <t>ツキ</t>
    </rPh>
    <rPh sb="13" eb="17">
      <t>ヘイキンキオン</t>
    </rPh>
    <rPh sb="18" eb="22">
      <t>ヘイキンキオン</t>
    </rPh>
    <rPh sb="24" eb="30">
      <t>ヒョウホンフヘンブンサン</t>
    </rPh>
    <rPh sb="31" eb="32">
      <t>モト</t>
    </rPh>
    <phoneticPr fontId="1"/>
  </si>
  <si>
    <t>偏差</t>
    <rPh sb="0" eb="2">
      <t>ヘンサ</t>
    </rPh>
    <phoneticPr fontId="1"/>
  </si>
  <si>
    <t>標本平均</t>
    <rPh sb="0" eb="4">
      <t>ヒョウホンヘイキン</t>
    </rPh>
    <phoneticPr fontId="1"/>
  </si>
  <si>
    <t>偏差二乗和</t>
    <rPh sb="0" eb="5">
      <t>ヘンサジジョウワ</t>
    </rPh>
    <phoneticPr fontId="1"/>
  </si>
  <si>
    <t>標本不偏分散</t>
    <rPh sb="0" eb="6">
      <t>ヒョウホンフヘンブンサン</t>
    </rPh>
    <phoneticPr fontId="1"/>
  </si>
  <si>
    <t>偏差二乗</t>
    <rPh sb="0" eb="4">
      <t>ヘンサジジョウ</t>
    </rPh>
    <phoneticPr fontId="1"/>
  </si>
  <si>
    <t>標本分散</t>
    <rPh sb="0" eb="4">
      <t>ヒョウホンブンサン</t>
    </rPh>
    <phoneticPr fontId="1"/>
  </si>
  <si>
    <t>Excel関数で確認</t>
    <rPh sb="5" eb="7">
      <t>カンスウ</t>
    </rPh>
    <rPh sb="8" eb="10">
      <t>カクニン</t>
    </rPh>
    <phoneticPr fontId="1"/>
  </si>
  <si>
    <t>千葉県の1975年の月別月平均気温（平均気温）の標本平均，標本分散から，標本不偏分散を求めよ．</t>
    <rPh sb="0" eb="3">
      <t>チバケン</t>
    </rPh>
    <rPh sb="8" eb="9">
      <t>ネン</t>
    </rPh>
    <rPh sb="10" eb="12">
      <t>ツキベツ</t>
    </rPh>
    <rPh sb="12" eb="13">
      <t>ツキ</t>
    </rPh>
    <rPh sb="13" eb="17">
      <t>ヘイキンキオン</t>
    </rPh>
    <rPh sb="18" eb="22">
      <t>ヘイキンキオン</t>
    </rPh>
    <rPh sb="24" eb="26">
      <t>ヒョウホン</t>
    </rPh>
    <rPh sb="26" eb="28">
      <t>ヘイキン</t>
    </rPh>
    <rPh sb="29" eb="31">
      <t>ヒョウホン</t>
    </rPh>
    <rPh sb="31" eb="33">
      <t>ブンサン</t>
    </rPh>
    <rPh sb="36" eb="42">
      <t>ヒョウホンフヘンブンサン</t>
    </rPh>
    <rPh sb="43" eb="44">
      <t>モト</t>
    </rPh>
    <phoneticPr fontId="1"/>
  </si>
  <si>
    <t>標本平均は14.96，標本分散は60.50である．</t>
    <rPh sb="0" eb="4">
      <t>ヒョウホンヘイキン</t>
    </rPh>
    <rPh sb="11" eb="15">
      <t>ヒョウホンブンサン</t>
    </rPh>
    <phoneticPr fontId="1"/>
  </si>
  <si>
    <t>1975標本平均</t>
    <rPh sb="4" eb="8">
      <t>ヒョウホンヘイキン</t>
    </rPh>
    <phoneticPr fontId="1"/>
  </si>
  <si>
    <t>1975標本分散</t>
    <rPh sb="4" eb="6">
      <t>ヒョウホン</t>
    </rPh>
    <rPh sb="6" eb="8">
      <t>ブンサン</t>
    </rPh>
    <phoneticPr fontId="1"/>
  </si>
  <si>
    <t>1975標本不偏分散</t>
    <rPh sb="4" eb="6">
      <t>ヒョウホン</t>
    </rPh>
    <rPh sb="6" eb="8">
      <t>フヘン</t>
    </rPh>
    <rPh sb="8" eb="10">
      <t>ブンサン</t>
    </rPh>
    <phoneticPr fontId="1"/>
  </si>
  <si>
    <t>標本数</t>
    <rPh sb="0" eb="3">
      <t>ヒョウホンスウ</t>
    </rPh>
    <phoneticPr fontId="1"/>
  </si>
  <si>
    <r>
      <t>X</t>
    </r>
    <r>
      <rPr>
        <vertAlign val="subscript"/>
        <sz val="11"/>
        <color theme="1"/>
        <rFont val="Times New Roman"/>
        <family val="1"/>
      </rPr>
      <t>_bar</t>
    </r>
    <phoneticPr fontId="1"/>
  </si>
  <si>
    <r>
      <t>S</t>
    </r>
    <r>
      <rPr>
        <vertAlign val="superscript"/>
        <sz val="11"/>
        <color theme="1"/>
        <rFont val="Times New Roman"/>
        <family val="1"/>
      </rPr>
      <t>2</t>
    </r>
    <phoneticPr fontId="1"/>
  </si>
  <si>
    <t>n</t>
    <phoneticPr fontId="1"/>
  </si>
  <si>
    <r>
      <rPr>
        <sz val="11"/>
        <color theme="1"/>
        <rFont val="BIZ UDPゴシック"/>
        <family val="3"/>
        <charset val="128"/>
      </rPr>
      <t>∑</t>
    </r>
    <r>
      <rPr>
        <sz val="11"/>
        <color theme="1"/>
        <rFont val="Times New Roman"/>
        <family val="1"/>
      </rPr>
      <t>(X</t>
    </r>
    <r>
      <rPr>
        <vertAlign val="subscript"/>
        <sz val="11"/>
        <color theme="1"/>
        <rFont val="Times New Roman"/>
        <family val="1"/>
      </rPr>
      <t>i</t>
    </r>
    <r>
      <rPr>
        <sz val="11"/>
        <color theme="1"/>
        <rFont val="Times New Roman"/>
        <family val="1"/>
      </rPr>
      <t>-X</t>
    </r>
    <r>
      <rPr>
        <vertAlign val="subscript"/>
        <sz val="11"/>
        <color theme="1"/>
        <rFont val="Times New Roman"/>
        <family val="1"/>
      </rPr>
      <t>_bar</t>
    </r>
    <r>
      <rPr>
        <sz val="11"/>
        <color theme="1"/>
        <rFont val="Times New Roman"/>
        <family val="1"/>
      </rPr>
      <t>)</t>
    </r>
    <phoneticPr fontId="1"/>
  </si>
  <si>
    <t>自由度</t>
    <rPh sb="0" eb="3">
      <t>ジユウド</t>
    </rPh>
    <phoneticPr fontId="1"/>
  </si>
  <si>
    <t>n-1</t>
    <phoneticPr fontId="1"/>
  </si>
  <si>
    <r>
      <rPr>
        <sz val="11"/>
        <color theme="1"/>
        <rFont val="Times New Roman"/>
        <family val="1"/>
        <charset val="161"/>
      </rPr>
      <t>σ</t>
    </r>
    <r>
      <rPr>
        <vertAlign val="superscript"/>
        <sz val="11"/>
        <color theme="1"/>
        <rFont val="Times New Roman"/>
        <family val="1"/>
      </rPr>
      <t>2</t>
    </r>
    <r>
      <rPr>
        <vertAlign val="subscript"/>
        <sz val="11"/>
        <color theme="1"/>
        <rFont val="Times New Roman"/>
        <family val="1"/>
      </rPr>
      <t>_hat</t>
    </r>
    <phoneticPr fontId="1"/>
  </si>
  <si>
    <t>以下に対応する確率を求めよ</t>
    <rPh sb="0" eb="2">
      <t>イカ</t>
    </rPh>
    <rPh sb="3" eb="5">
      <t>タイオウ</t>
    </rPh>
    <rPh sb="7" eb="9">
      <t>カクリツ</t>
    </rPh>
    <rPh sb="10" eb="11">
      <t>モト</t>
    </rPh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</si>
  <si>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</si>
  <si>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</si>
  <si>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</si>
  <si>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</si>
  <si>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⑤</t>
    <phoneticPr fontId="1"/>
  </si>
  <si>
    <t>⑥</t>
    <phoneticPr fontId="1"/>
  </si>
  <si>
    <t>⑦</t>
    <phoneticPr fontId="1"/>
  </si>
  <si>
    <t>⑧</t>
    <phoneticPr fontId="1"/>
  </si>
  <si>
    <t>Pr(Z≧0.25)=</t>
    <phoneticPr fontId="1"/>
  </si>
  <si>
    <t>Pr(Z≧1.00)=</t>
    <phoneticPr fontId="1"/>
  </si>
  <si>
    <t>Pr(Z≧0.03)=</t>
    <phoneticPr fontId="1"/>
  </si>
  <si>
    <t>Pr(Z≧2.01)=</t>
    <phoneticPr fontId="1"/>
  </si>
  <si>
    <t>Pr(Z≦2.96)=</t>
    <phoneticPr fontId="1"/>
  </si>
  <si>
    <r>
      <t>Pr(Z</t>
    </r>
    <r>
      <rPr>
        <sz val="11"/>
        <color theme="1"/>
        <rFont val="BIZ UDゴシック"/>
        <family val="1"/>
        <charset val="128"/>
      </rPr>
      <t>≧-</t>
    </r>
    <r>
      <rPr>
        <sz val="11"/>
        <color theme="1"/>
        <rFont val="BIZ UDゴシック"/>
        <family val="3"/>
        <charset val="128"/>
      </rPr>
      <t>0.25)=</t>
    </r>
    <phoneticPr fontId="1"/>
  </si>
  <si>
    <t>Pr(-0.25≦Z≦0.25)=</t>
    <phoneticPr fontId="1"/>
  </si>
  <si>
    <t>Pr(-0.05≦Z≦2.13)=</t>
    <phoneticPr fontId="1"/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</si>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</sst>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14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theme="1"/>
      <name val="Times New Roman"/>
      <family val="1"/>
    </font>
    <font>
      <sz val="11"/>
      <color theme="1"/>
      <name val="BIZ UDゴシック"/>
      <family val="3"/>
      <charset val="128"/>
    </font>
    <font>
      <sz val="11"/>
      <color theme="1"/>
      <name val="ＭＳ Ｐ明朝"/>
      <family val="1"/>
      <charset val="128"/>
    </font>
    <font>
      <sz val="11"/>
      <color rgb="FFFF0000"/>
      <name val="Calibri"/>
      <family val="2"/>
      <charset val="128"/>
      <scheme val="minor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Times New Roman"/>
      <family val="3"/>
      <charset val="128"/>
    </font>
    <font>
      <sz val="11"/>
      <color theme="1"/>
      <name val="BIZ UDPゴシック"/>
      <family val="3"/>
      <charset val="128"/>
    </font>
    <font>
      <sz val="11"/>
      <color theme="1"/>
      <name val="Times New Roman"/>
      <family val="1"/>
      <charset val="161"/>
    </font>
    <font>
      <sz val="11"/>
      <name val="Calibri"/>
      <family val="2"/>
      <charset val="128"/>
      <scheme val="minor"/>
    </font>
    <font>
      <sz val="11"/>
      <color theme="1"/>
      <name val="BIZ UDゴシック"/>
      <family val="1"/>
      <charset val="128"/>
    </font>
    <font>
      <sz val="11"/>
      <color rgb="FFFF0000"/>
      <name val="BIZ UD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/>
      <top style="thick">
        <color auto="1"/>
      </top>
      <bottom style="double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ck">
        <color auto="1"/>
      </bottom>
      <diagonal/>
    </border>
    <border>
      <left style="dotted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3" fillId="0" borderId="0" xfId="0" applyFont="1">
      <alignment vertical="center"/>
    </xf>
    <xf numFmtId="164" fontId="3" fillId="2" borderId="3" xfId="0" applyNumberFormat="1" applyFont="1" applyFill="1" applyBorder="1" applyAlignment="1">
      <alignment horizontal="center" vertical="center"/>
    </xf>
    <xf numFmtId="167" fontId="3" fillId="0" borderId="4" xfId="0" applyNumberFormat="1" applyFont="1" applyBorder="1">
      <alignment vertical="center"/>
    </xf>
    <xf numFmtId="167" fontId="3" fillId="0" borderId="5" xfId="0" applyNumberFormat="1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164" fontId="3" fillId="2" borderId="6" xfId="0" applyNumberFormat="1" applyFont="1" applyFill="1" applyBorder="1" applyAlignment="1">
      <alignment horizontal="center" vertical="center"/>
    </xf>
    <xf numFmtId="167" fontId="3" fillId="0" borderId="7" xfId="0" applyNumberFormat="1" applyFont="1" applyBorder="1">
      <alignment vertical="center"/>
    </xf>
    <xf numFmtId="167" fontId="3" fillId="0" borderId="8" xfId="0" applyNumberFormat="1" applyFont="1" applyBorder="1">
      <alignment vertical="center"/>
    </xf>
    <xf numFmtId="0" fontId="2" fillId="2" borderId="9" xfId="0" applyFont="1" applyFill="1" applyBorder="1" applyAlignment="1">
      <alignment horizontal="center" vertical="center"/>
    </xf>
    <xf numFmtId="2" fontId="3" fillId="2" borderId="10" xfId="0" applyNumberFormat="1" applyFont="1" applyFill="1" applyBorder="1" applyAlignment="1">
      <alignment horizontal="center" vertical="center"/>
    </xf>
    <xf numFmtId="2" fontId="3" fillId="2" borderId="11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166" fontId="3" fillId="0" borderId="22" xfId="0" applyNumberFormat="1" applyFont="1" applyBorder="1">
      <alignment vertical="center"/>
    </xf>
    <xf numFmtId="166" fontId="3" fillId="0" borderId="4" xfId="0" applyNumberFormat="1" applyFont="1" applyBorder="1">
      <alignment vertical="center"/>
    </xf>
    <xf numFmtId="166" fontId="3" fillId="0" borderId="5" xfId="0" applyNumberFormat="1" applyFont="1" applyBorder="1">
      <alignment vertical="center"/>
    </xf>
    <xf numFmtId="166" fontId="3" fillId="0" borderId="7" xfId="0" applyNumberFormat="1" applyFont="1" applyBorder="1">
      <alignment vertical="center"/>
    </xf>
    <xf numFmtId="166" fontId="3" fillId="0" borderId="8" xfId="0" applyNumberFormat="1" applyFont="1" applyBorder="1">
      <alignment vertical="center"/>
    </xf>
    <xf numFmtId="0" fontId="0" fillId="0" borderId="25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 applyAlignment="1">
      <alignment horizontal="center" vertical="center" shrinkToFit="1"/>
    </xf>
    <xf numFmtId="0" fontId="0" fillId="0" borderId="36" xfId="0" applyBorder="1" applyAlignment="1">
      <alignment horizontal="center" vertical="center" shrinkToFit="1"/>
    </xf>
    <xf numFmtId="0" fontId="0" fillId="0" borderId="37" xfId="0" applyBorder="1" applyAlignment="1">
      <alignment horizontal="center" vertical="center" shrinkToFi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8" xfId="0" applyBorder="1" applyAlignment="1">
      <alignment horizontal="center" vertical="center" shrinkToFit="1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 applyAlignment="1">
      <alignment horizontal="center" vertical="center" shrinkToFit="1"/>
    </xf>
    <xf numFmtId="0" fontId="0" fillId="0" borderId="43" xfId="0" applyBorder="1">
      <alignment vertical="center"/>
    </xf>
    <xf numFmtId="0" fontId="0" fillId="0" borderId="44" xfId="0" applyBorder="1">
      <alignment vertical="center"/>
    </xf>
    <xf numFmtId="0" fontId="0" fillId="0" borderId="45" xfId="0" applyBorder="1">
      <alignment vertical="center"/>
    </xf>
    <xf numFmtId="0" fontId="0" fillId="0" borderId="23" xfId="0" applyBorder="1" applyAlignment="1">
      <alignment horizontal="center" vertical="center" shrinkToFit="1"/>
    </xf>
    <xf numFmtId="0" fontId="0" fillId="0" borderId="26" xfId="0" applyBorder="1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46" xfId="0" applyBorder="1" applyAlignment="1">
      <alignment vertical="center" shrinkToFit="1"/>
    </xf>
    <xf numFmtId="0" fontId="0" fillId="0" borderId="47" xfId="0" applyBorder="1">
      <alignment vertical="center"/>
    </xf>
    <xf numFmtId="0" fontId="5" fillId="0" borderId="43" xfId="0" applyFont="1" applyBorder="1">
      <alignment vertical="center"/>
    </xf>
    <xf numFmtId="0" fontId="5" fillId="0" borderId="34" xfId="0" applyFont="1" applyBorder="1">
      <alignment vertical="center"/>
    </xf>
    <xf numFmtId="0" fontId="5" fillId="0" borderId="44" xfId="0" applyFont="1" applyBorder="1">
      <alignment vertical="center"/>
    </xf>
    <xf numFmtId="0" fontId="5" fillId="0" borderId="28" xfId="0" applyFont="1" applyBorder="1">
      <alignment vertical="center"/>
    </xf>
    <xf numFmtId="0" fontId="5" fillId="0" borderId="45" xfId="0" applyFont="1" applyBorder="1">
      <alignment vertical="center"/>
    </xf>
    <xf numFmtId="0" fontId="5" fillId="0" borderId="31" xfId="0" applyFont="1" applyBorder="1">
      <alignment vertical="center"/>
    </xf>
    <xf numFmtId="0" fontId="5" fillId="0" borderId="25" xfId="0" applyFont="1" applyBorder="1">
      <alignment vertical="center"/>
    </xf>
    <xf numFmtId="0" fontId="5" fillId="0" borderId="47" xfId="0" applyFont="1" applyBorder="1">
      <alignment vertical="center"/>
    </xf>
    <xf numFmtId="0" fontId="5" fillId="0" borderId="27" xfId="0" applyFont="1" applyBorder="1">
      <alignment vertical="center"/>
    </xf>
    <xf numFmtId="0" fontId="5" fillId="0" borderId="30" xfId="0" applyFont="1" applyBorder="1">
      <alignment vertical="center"/>
    </xf>
    <xf numFmtId="0" fontId="5" fillId="0" borderId="0" xfId="0" applyFont="1">
      <alignment vertical="center"/>
    </xf>
    <xf numFmtId="0" fontId="0" fillId="0" borderId="24" xfId="0" applyBorder="1" applyAlignment="1">
      <alignment horizontal="center" vertical="center" shrinkToFit="1"/>
    </xf>
    <xf numFmtId="0" fontId="0" fillId="0" borderId="25" xfId="0" applyBorder="1" applyAlignment="1">
      <alignment horizontal="center" vertical="center" shrinkToFit="1"/>
    </xf>
    <xf numFmtId="0" fontId="0" fillId="0" borderId="26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2" fillId="0" borderId="27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5" fillId="0" borderId="50" xfId="0" applyFont="1" applyBorder="1">
      <alignment vertical="center"/>
    </xf>
    <xf numFmtId="0" fontId="0" fillId="0" borderId="23" xfId="0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11" fillId="0" borderId="25" xfId="0" applyFont="1" applyBorder="1">
      <alignment vertical="center"/>
    </xf>
    <xf numFmtId="0" fontId="11" fillId="0" borderId="28" xfId="0" applyFont="1" applyBorder="1">
      <alignment vertical="center"/>
    </xf>
    <xf numFmtId="0" fontId="11" fillId="0" borderId="31" xfId="0" applyFont="1" applyBorder="1">
      <alignment vertical="center"/>
    </xf>
    <xf numFmtId="0" fontId="11" fillId="0" borderId="50" xfId="0" applyFont="1" applyBorder="1">
      <alignment vertical="center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6" xfId="0" applyFont="1" applyBorder="1">
      <alignment vertical="center"/>
    </xf>
    <xf numFmtId="0" fontId="3" fillId="0" borderId="27" xfId="0" applyFont="1" applyBorder="1">
      <alignment vertical="center"/>
    </xf>
    <xf numFmtId="0" fontId="3" fillId="0" borderId="29" xfId="0" applyFont="1" applyBorder="1">
      <alignment vertical="center"/>
    </xf>
    <xf numFmtId="0" fontId="3" fillId="0" borderId="30" xfId="0" applyFont="1" applyBorder="1">
      <alignment vertical="center"/>
    </xf>
    <xf numFmtId="167" fontId="3" fillId="0" borderId="25" xfId="0" applyNumberFormat="1" applyFont="1" applyBorder="1">
      <alignment vertical="center"/>
    </xf>
    <xf numFmtId="167" fontId="3" fillId="0" borderId="28" xfId="0" applyNumberFormat="1" applyFont="1" applyBorder="1">
      <alignment vertical="center"/>
    </xf>
    <xf numFmtId="167" fontId="3" fillId="0" borderId="31" xfId="0" applyNumberFormat="1" applyFont="1" applyBorder="1">
      <alignment vertical="center"/>
    </xf>
    <xf numFmtId="167" fontId="13" fillId="0" borderId="25" xfId="0" applyNumberFormat="1" applyFont="1" applyBorder="1">
      <alignment vertical="center"/>
    </xf>
    <xf numFmtId="167" fontId="13" fillId="0" borderId="28" xfId="0" applyNumberFormat="1" applyFont="1" applyBorder="1">
      <alignment vertical="center"/>
    </xf>
    <xf numFmtId="167" fontId="13" fillId="0" borderId="31" xfId="0" applyNumberFormat="1" applyFont="1" applyBorder="1">
      <alignment vertical="center"/>
    </xf>
    <xf numFmtId="0" fontId="1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" fontId="3" fillId="2" borderId="14" xfId="0" applyNumberFormat="1" applyFont="1" applyFill="1" applyBorder="1" applyAlignment="1">
      <alignment horizontal="center" vertical="center"/>
    </xf>
    <xf numFmtId="1" fontId="3" fillId="2" borderId="12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5" fontId="3" fillId="2" borderId="16" xfId="0" applyNumberFormat="1" applyFont="1" applyFill="1" applyBorder="1" applyAlignment="1">
      <alignment horizontal="center" vertical="center"/>
    </xf>
    <xf numFmtId="166" fontId="3" fillId="2" borderId="2" xfId="0" applyNumberFormat="1" applyFont="1" applyFill="1" applyBorder="1" applyAlignment="1">
      <alignment horizontal="center" vertical="center"/>
    </xf>
    <xf numFmtId="166" fontId="3" fillId="2" borderId="17" xfId="0" applyNumberFormat="1" applyFont="1" applyFill="1" applyBorder="1" applyAlignment="1">
      <alignment horizontal="center" vertical="center"/>
    </xf>
    <xf numFmtId="1" fontId="3" fillId="2" borderId="15" xfId="0" applyNumberFormat="1" applyFont="1" applyFill="1" applyBorder="1" applyAlignment="1">
      <alignment horizontal="center" vertical="center"/>
    </xf>
    <xf numFmtId="1" fontId="3" fillId="2" borderId="13" xfId="0" applyNumberFormat="1" applyFont="1" applyFill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165" fontId="3" fillId="2" borderId="1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73D79-1C23-40CE-BB66-916C72761DC2}">
  <dimension ref="B1:J17"/>
  <sheetViews>
    <sheetView showGridLines="0" zoomScale="136" workbookViewId="0">
      <selection activeCell="I4" sqref="I4"/>
    </sheetView>
  </sheetViews>
  <sheetFormatPr baseColWidth="10" defaultColWidth="8.83203125" defaultRowHeight="15"/>
  <cols>
    <col min="9" max="9" width="8.6640625" customWidth="1"/>
  </cols>
  <sheetData>
    <row r="1" spans="2:10">
      <c r="D1" s="62">
        <f>SUM(D5:D16)</f>
        <v>216.39999999999998</v>
      </c>
    </row>
    <row r="2" spans="2:10">
      <c r="B2" t="s">
        <v>24</v>
      </c>
    </row>
    <row r="3" spans="2:10" ht="16" thickBot="1"/>
    <row r="4" spans="2:10" ht="17" thickTop="1" thickBot="1">
      <c r="B4" s="30" t="s">
        <v>7</v>
      </c>
      <c r="C4" s="31" t="s">
        <v>8</v>
      </c>
      <c r="D4" s="39" t="s">
        <v>22</v>
      </c>
      <c r="E4" s="43" t="s">
        <v>25</v>
      </c>
      <c r="F4" s="32" t="s">
        <v>29</v>
      </c>
      <c r="H4" s="47" t="s">
        <v>26</v>
      </c>
      <c r="I4" s="58">
        <f>AVERAGE(D5:D16)</f>
        <v>18.033333333333331</v>
      </c>
    </row>
    <row r="5" spans="2:10" ht="17" thickTop="1" thickBot="1">
      <c r="B5" s="33">
        <v>2024</v>
      </c>
      <c r="C5" s="34" t="s">
        <v>9</v>
      </c>
      <c r="D5" s="42">
        <v>7.9</v>
      </c>
      <c r="E5" s="52">
        <f>D5-$I$4</f>
        <v>-10.133333333333331</v>
      </c>
      <c r="F5" s="53">
        <f>E5^2</f>
        <v>102.6844444444444</v>
      </c>
      <c r="H5" s="50" t="s">
        <v>27</v>
      </c>
      <c r="I5" s="59">
        <f>SUM(F5:F16)</f>
        <v>716.82666666666671</v>
      </c>
      <c r="J5" s="49" t="s">
        <v>31</v>
      </c>
    </row>
    <row r="6" spans="2:10" ht="16" thickTop="1">
      <c r="B6" s="35">
        <v>2024</v>
      </c>
      <c r="C6" s="36" t="s">
        <v>10</v>
      </c>
      <c r="D6" s="40">
        <v>8.3000000000000007</v>
      </c>
      <c r="E6" s="54">
        <f t="shared" ref="E6:E16" si="0">D6-$I$4</f>
        <v>-9.7333333333333307</v>
      </c>
      <c r="F6" s="55">
        <f t="shared" ref="F6:F16" si="1">E6^2</f>
        <v>94.737777777777723</v>
      </c>
      <c r="H6" s="48" t="s">
        <v>28</v>
      </c>
      <c r="I6" s="60">
        <f>I5/11</f>
        <v>65.166060606060611</v>
      </c>
      <c r="J6" s="58">
        <f>_xlfn.VAR.S(D5:D16)</f>
        <v>65.166060606060668</v>
      </c>
    </row>
    <row r="7" spans="2:10" ht="16" thickBot="1">
      <c r="B7" s="35">
        <v>2024</v>
      </c>
      <c r="C7" s="36" t="s">
        <v>11</v>
      </c>
      <c r="D7" s="40">
        <v>10.1</v>
      </c>
      <c r="E7" s="54">
        <f t="shared" si="0"/>
        <v>-7.9333333333333318</v>
      </c>
      <c r="F7" s="55">
        <f t="shared" si="1"/>
        <v>62.937777777777754</v>
      </c>
      <c r="H7" s="25" t="s">
        <v>30</v>
      </c>
      <c r="I7" s="61">
        <f>I5/12</f>
        <v>59.735555555555557</v>
      </c>
      <c r="J7" s="57">
        <f>_xlfn.VAR.P(D5:D16)</f>
        <v>59.735555555555592</v>
      </c>
    </row>
    <row r="8" spans="2:10" ht="16" thickTop="1">
      <c r="B8" s="35">
        <v>2024</v>
      </c>
      <c r="C8" s="36" t="s">
        <v>12</v>
      </c>
      <c r="D8" s="40">
        <v>17</v>
      </c>
      <c r="E8" s="54">
        <f t="shared" si="0"/>
        <v>-1.0333333333333314</v>
      </c>
      <c r="F8" s="55">
        <f t="shared" si="1"/>
        <v>1.0677777777777739</v>
      </c>
    </row>
    <row r="9" spans="2:10">
      <c r="B9" s="35">
        <v>2024</v>
      </c>
      <c r="C9" s="36" t="s">
        <v>13</v>
      </c>
      <c r="D9" s="40">
        <v>20.100000000000001</v>
      </c>
      <c r="E9" s="54">
        <f t="shared" si="0"/>
        <v>2.06666666666667</v>
      </c>
      <c r="F9" s="55">
        <f t="shared" si="1"/>
        <v>4.2711111111111251</v>
      </c>
    </row>
    <row r="10" spans="2:10">
      <c r="B10" s="35">
        <v>2024</v>
      </c>
      <c r="C10" s="36" t="s">
        <v>14</v>
      </c>
      <c r="D10" s="40">
        <v>23.2</v>
      </c>
      <c r="E10" s="54">
        <f t="shared" si="0"/>
        <v>5.1666666666666679</v>
      </c>
      <c r="F10" s="55">
        <f t="shared" si="1"/>
        <v>26.694444444444457</v>
      </c>
    </row>
    <row r="11" spans="2:10">
      <c r="B11" s="35">
        <v>2024</v>
      </c>
      <c r="C11" s="36" t="s">
        <v>15</v>
      </c>
      <c r="D11" s="40">
        <v>28.8</v>
      </c>
      <c r="E11" s="54">
        <f t="shared" si="0"/>
        <v>10.766666666666669</v>
      </c>
      <c r="F11" s="55">
        <f t="shared" si="1"/>
        <v>115.92111111111117</v>
      </c>
    </row>
    <row r="12" spans="2:10">
      <c r="B12" s="35">
        <v>2024</v>
      </c>
      <c r="C12" s="36" t="s">
        <v>16</v>
      </c>
      <c r="D12" s="40">
        <v>29.2</v>
      </c>
      <c r="E12" s="54">
        <f t="shared" si="0"/>
        <v>11.166666666666668</v>
      </c>
      <c r="F12" s="55">
        <f t="shared" si="1"/>
        <v>124.69444444444447</v>
      </c>
    </row>
    <row r="13" spans="2:10">
      <c r="B13" s="35">
        <v>2024</v>
      </c>
      <c r="C13" s="36" t="s">
        <v>17</v>
      </c>
      <c r="D13" s="40">
        <v>27</v>
      </c>
      <c r="E13" s="54">
        <f t="shared" si="0"/>
        <v>8.9666666666666686</v>
      </c>
      <c r="F13" s="55">
        <f t="shared" si="1"/>
        <v>80.401111111111149</v>
      </c>
    </row>
    <row r="14" spans="2:10">
      <c r="B14" s="35">
        <v>2024</v>
      </c>
      <c r="C14" s="36" t="s">
        <v>18</v>
      </c>
      <c r="D14" s="40">
        <v>21.2</v>
      </c>
      <c r="E14" s="54">
        <f t="shared" si="0"/>
        <v>3.1666666666666679</v>
      </c>
      <c r="F14" s="55">
        <f t="shared" si="1"/>
        <v>10.027777777777786</v>
      </c>
    </row>
    <row r="15" spans="2:10">
      <c r="B15" s="35">
        <v>2024</v>
      </c>
      <c r="C15" s="36" t="s">
        <v>19</v>
      </c>
      <c r="D15" s="40">
        <v>14.6</v>
      </c>
      <c r="E15" s="54">
        <f t="shared" si="0"/>
        <v>-3.4333333333333318</v>
      </c>
      <c r="F15" s="55">
        <f t="shared" si="1"/>
        <v>11.787777777777768</v>
      </c>
    </row>
    <row r="16" spans="2:10" ht="16" thickBot="1">
      <c r="B16" s="37">
        <v>2024</v>
      </c>
      <c r="C16" s="38" t="s">
        <v>20</v>
      </c>
      <c r="D16" s="41">
        <v>9</v>
      </c>
      <c r="E16" s="56">
        <f t="shared" si="0"/>
        <v>-9.0333333333333314</v>
      </c>
      <c r="F16" s="57">
        <f t="shared" si="1"/>
        <v>81.601111111111081</v>
      </c>
    </row>
    <row r="17" ht="16" thickTop="1"/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0710-E278-4A5B-9A8D-C453012B7A2B}">
  <dimension ref="B2:J17"/>
  <sheetViews>
    <sheetView showGridLines="0" workbookViewId="0"/>
  </sheetViews>
  <sheetFormatPr baseColWidth="10" defaultColWidth="8.83203125" defaultRowHeight="15"/>
  <cols>
    <col min="9" max="9" width="8.6640625" customWidth="1"/>
  </cols>
  <sheetData>
    <row r="2" spans="2:10">
      <c r="B2" t="s">
        <v>24</v>
      </c>
    </row>
    <row r="3" spans="2:10" ht="16" thickBot="1"/>
    <row r="4" spans="2:10" ht="17" thickTop="1" thickBot="1">
      <c r="B4" s="30" t="s">
        <v>7</v>
      </c>
      <c r="C4" s="31" t="s">
        <v>8</v>
      </c>
      <c r="D4" s="39" t="s">
        <v>22</v>
      </c>
      <c r="E4" s="43" t="s">
        <v>25</v>
      </c>
      <c r="F4" s="32" t="s">
        <v>29</v>
      </c>
      <c r="H4" s="47" t="s">
        <v>26</v>
      </c>
      <c r="I4" s="22"/>
    </row>
    <row r="5" spans="2:10" ht="17" thickTop="1" thickBot="1">
      <c r="B5" s="33">
        <v>2024</v>
      </c>
      <c r="C5" s="34" t="s">
        <v>9</v>
      </c>
      <c r="D5" s="42">
        <v>7.9</v>
      </c>
      <c r="E5" s="44"/>
      <c r="F5" s="29"/>
      <c r="H5" s="50" t="s">
        <v>27</v>
      </c>
      <c r="I5" s="51"/>
      <c r="J5" s="49" t="s">
        <v>31</v>
      </c>
    </row>
    <row r="6" spans="2:10" ht="16" thickTop="1">
      <c r="B6" s="35">
        <v>2024</v>
      </c>
      <c r="C6" s="36" t="s">
        <v>10</v>
      </c>
      <c r="D6" s="40">
        <v>8.3000000000000007</v>
      </c>
      <c r="E6" s="45"/>
      <c r="F6" s="24"/>
      <c r="H6" s="48" t="s">
        <v>28</v>
      </c>
      <c r="I6" s="23"/>
      <c r="J6" s="22"/>
    </row>
    <row r="7" spans="2:10" ht="16" thickBot="1">
      <c r="B7" s="35">
        <v>2024</v>
      </c>
      <c r="C7" s="36" t="s">
        <v>11</v>
      </c>
      <c r="D7" s="40">
        <v>10.1</v>
      </c>
      <c r="E7" s="45"/>
      <c r="F7" s="24"/>
      <c r="H7" s="25" t="s">
        <v>30</v>
      </c>
      <c r="I7" s="26"/>
      <c r="J7" s="27"/>
    </row>
    <row r="8" spans="2:10" ht="16" thickTop="1">
      <c r="B8" s="35">
        <v>2024</v>
      </c>
      <c r="C8" s="36" t="s">
        <v>12</v>
      </c>
      <c r="D8" s="40">
        <v>17</v>
      </c>
      <c r="E8" s="45"/>
      <c r="F8" s="24"/>
    </row>
    <row r="9" spans="2:10">
      <c r="B9" s="35">
        <v>2024</v>
      </c>
      <c r="C9" s="36" t="s">
        <v>13</v>
      </c>
      <c r="D9" s="40">
        <v>20.100000000000001</v>
      </c>
      <c r="E9" s="45"/>
      <c r="F9" s="24"/>
    </row>
    <row r="10" spans="2:10">
      <c r="B10" s="35">
        <v>2024</v>
      </c>
      <c r="C10" s="36" t="s">
        <v>14</v>
      </c>
      <c r="D10" s="40">
        <v>23.2</v>
      </c>
      <c r="E10" s="45"/>
      <c r="F10" s="24"/>
    </row>
    <row r="11" spans="2:10">
      <c r="B11" s="35">
        <v>2024</v>
      </c>
      <c r="C11" s="36" t="s">
        <v>15</v>
      </c>
      <c r="D11" s="40">
        <v>28.8</v>
      </c>
      <c r="E11" s="45"/>
      <c r="F11" s="24"/>
    </row>
    <row r="12" spans="2:10">
      <c r="B12" s="35">
        <v>2024</v>
      </c>
      <c r="C12" s="36" t="s">
        <v>16</v>
      </c>
      <c r="D12" s="40">
        <v>29.2</v>
      </c>
      <c r="E12" s="45"/>
      <c r="F12" s="24"/>
    </row>
    <row r="13" spans="2:10">
      <c r="B13" s="35">
        <v>2024</v>
      </c>
      <c r="C13" s="36" t="s">
        <v>17</v>
      </c>
      <c r="D13" s="40">
        <v>27</v>
      </c>
      <c r="E13" s="45"/>
      <c r="F13" s="24"/>
    </row>
    <row r="14" spans="2:10">
      <c r="B14" s="35">
        <v>2024</v>
      </c>
      <c r="C14" s="36" t="s">
        <v>18</v>
      </c>
      <c r="D14" s="40">
        <v>21.2</v>
      </c>
      <c r="E14" s="45"/>
      <c r="F14" s="24"/>
    </row>
    <row r="15" spans="2:10">
      <c r="B15" s="35">
        <v>2024</v>
      </c>
      <c r="C15" s="36" t="s">
        <v>19</v>
      </c>
      <c r="D15" s="40">
        <v>14.6</v>
      </c>
      <c r="E15" s="45"/>
      <c r="F15" s="24"/>
    </row>
    <row r="16" spans="2:10" ht="16" thickBot="1">
      <c r="B16" s="37">
        <v>2024</v>
      </c>
      <c r="C16" s="38" t="s">
        <v>20</v>
      </c>
      <c r="D16" s="41">
        <v>9</v>
      </c>
      <c r="E16" s="46"/>
      <c r="F16" s="27"/>
    </row>
    <row r="17" ht="16" thickTop="1"/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D1460-4101-49D6-B401-52DCEDDAA984}">
  <dimension ref="B2:E11"/>
  <sheetViews>
    <sheetView showGridLines="0" workbookViewId="0">
      <selection activeCell="F15" sqref="F15"/>
    </sheetView>
  </sheetViews>
  <sheetFormatPr baseColWidth="10" defaultColWidth="8.83203125" defaultRowHeight="15"/>
  <cols>
    <col min="3" max="3" width="12.33203125" bestFit="1" customWidth="1"/>
    <col min="4" max="4" width="9.6640625" bestFit="1" customWidth="1"/>
    <col min="10" max="10" width="8.6640625" customWidth="1"/>
  </cols>
  <sheetData>
    <row r="2" spans="2:5">
      <c r="B2" t="s">
        <v>32</v>
      </c>
    </row>
    <row r="3" spans="2:5">
      <c r="B3" t="s">
        <v>33</v>
      </c>
    </row>
    <row r="4" spans="2:5" ht="16" thickBot="1"/>
    <row r="5" spans="2:5" ht="19" thickTop="1">
      <c r="C5" s="47" t="s">
        <v>26</v>
      </c>
      <c r="D5" s="69" t="s">
        <v>38</v>
      </c>
      <c r="E5" s="58">
        <v>14.96</v>
      </c>
    </row>
    <row r="6" spans="2:5">
      <c r="C6" s="35" t="s">
        <v>30</v>
      </c>
      <c r="D6" s="67" t="s">
        <v>39</v>
      </c>
      <c r="E6" s="55">
        <v>60.5</v>
      </c>
    </row>
    <row r="7" spans="2:5" ht="16" thickBot="1">
      <c r="C7" s="37" t="s">
        <v>37</v>
      </c>
      <c r="D7" s="68" t="s">
        <v>40</v>
      </c>
      <c r="E7" s="57">
        <v>12</v>
      </c>
    </row>
    <row r="8" spans="2:5" ht="19" thickTop="1">
      <c r="C8" s="73" t="s">
        <v>27</v>
      </c>
      <c r="D8" s="74" t="s">
        <v>41</v>
      </c>
      <c r="E8" s="58">
        <f>E6*E7</f>
        <v>726</v>
      </c>
    </row>
    <row r="9" spans="2:5" ht="16" thickBot="1">
      <c r="C9" s="37" t="s">
        <v>42</v>
      </c>
      <c r="D9" s="68" t="s">
        <v>43</v>
      </c>
      <c r="E9" s="57">
        <f>E7-1</f>
        <v>11</v>
      </c>
    </row>
    <row r="10" spans="2:5" ht="20" thickTop="1" thickBot="1">
      <c r="C10" s="70" t="s">
        <v>28</v>
      </c>
      <c r="D10" s="71" t="s">
        <v>44</v>
      </c>
      <c r="E10" s="72">
        <f>E8/E9</f>
        <v>66</v>
      </c>
    </row>
    <row r="11" spans="2:5" ht="16" thickTop="1"/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551B-1788-444A-8862-55751A93F873}">
  <dimension ref="B2:E11"/>
  <sheetViews>
    <sheetView showGridLines="0" workbookViewId="0"/>
  </sheetViews>
  <sheetFormatPr baseColWidth="10" defaultColWidth="8.83203125" defaultRowHeight="15"/>
  <cols>
    <col min="3" max="3" width="12.33203125" bestFit="1" customWidth="1"/>
    <col min="4" max="4" width="9.6640625" bestFit="1" customWidth="1"/>
    <col min="10" max="10" width="8.6640625" customWidth="1"/>
  </cols>
  <sheetData>
    <row r="2" spans="2:5">
      <c r="B2" t="s">
        <v>32</v>
      </c>
    </row>
    <row r="3" spans="2:5">
      <c r="B3" t="s">
        <v>33</v>
      </c>
    </row>
    <row r="4" spans="2:5" ht="16" thickBot="1"/>
    <row r="5" spans="2:5" ht="19" thickTop="1">
      <c r="C5" s="47" t="s">
        <v>26</v>
      </c>
      <c r="D5" s="69" t="s">
        <v>38</v>
      </c>
      <c r="E5" s="75"/>
    </row>
    <row r="6" spans="2:5">
      <c r="C6" s="35" t="s">
        <v>30</v>
      </c>
      <c r="D6" s="67" t="s">
        <v>39</v>
      </c>
      <c r="E6" s="76"/>
    </row>
    <row r="7" spans="2:5" ht="16" thickBot="1">
      <c r="C7" s="37" t="s">
        <v>37</v>
      </c>
      <c r="D7" s="68" t="s">
        <v>40</v>
      </c>
      <c r="E7" s="77"/>
    </row>
    <row r="8" spans="2:5" ht="19" thickTop="1">
      <c r="C8" s="73" t="s">
        <v>27</v>
      </c>
      <c r="D8" s="74" t="s">
        <v>41</v>
      </c>
      <c r="E8" s="75"/>
    </row>
    <row r="9" spans="2:5" ht="16" thickBot="1">
      <c r="C9" s="37" t="s">
        <v>42</v>
      </c>
      <c r="D9" s="68" t="s">
        <v>43</v>
      </c>
      <c r="E9" s="77"/>
    </row>
    <row r="10" spans="2:5" ht="20" thickTop="1" thickBot="1">
      <c r="C10" s="70" t="s">
        <v>28</v>
      </c>
      <c r="D10" s="71" t="s">
        <v>44</v>
      </c>
      <c r="E10" s="78"/>
    </row>
    <row r="11" spans="2:5" ht="16" thickTop="1"/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1E24-C33E-4F70-BCBD-2265E10628CF}">
  <dimension ref="B2:R42"/>
  <sheetViews>
    <sheetView showGridLines="0" tabSelected="1" zoomScaleNormal="100" workbookViewId="0">
      <selection activeCell="E8" sqref="E8"/>
    </sheetView>
  </sheetViews>
  <sheetFormatPr baseColWidth="10" defaultColWidth="8.6640625" defaultRowHeight="15" customHeight="1"/>
  <cols>
    <col min="1" max="2" width="8.6640625" style="1"/>
    <col min="3" max="3" width="3.1640625" style="1" bestFit="1" customWidth="1"/>
    <col min="4" max="4" width="19.1640625" style="1" bestFit="1" customWidth="1"/>
    <col min="5" max="5" width="18.1640625" style="1" bestFit="1" customWidth="1"/>
    <col min="6" max="6" width="8.6640625" style="1"/>
    <col min="7" max="7" width="3.5" style="1" customWidth="1"/>
    <col min="8" max="18" width="8.6640625" style="1"/>
    <col min="19" max="19" width="3.5" style="1" customWidth="1"/>
    <col min="20" max="16384" width="8.6640625" style="1"/>
  </cols>
  <sheetData>
    <row r="2" spans="2:18" ht="15" customHeight="1">
      <c r="H2" s="92" t="s">
        <v>1</v>
      </c>
      <c r="I2" s="92"/>
      <c r="J2" s="92"/>
      <c r="K2" s="92"/>
      <c r="L2" s="92"/>
      <c r="M2" s="92"/>
      <c r="N2" s="92"/>
      <c r="O2" s="92"/>
      <c r="P2" s="92"/>
      <c r="Q2" s="92"/>
      <c r="R2" s="92"/>
    </row>
    <row r="3" spans="2:18" ht="15" customHeight="1" thickBot="1">
      <c r="B3" s="1" t="s">
        <v>45</v>
      </c>
    </row>
    <row r="4" spans="2:18" ht="15" customHeight="1" thickTop="1">
      <c r="C4" s="79" t="s">
        <v>46</v>
      </c>
      <c r="D4" s="80" t="s">
        <v>54</v>
      </c>
      <c r="E4" s="88">
        <f>N8</f>
        <v>0.4012936743170763</v>
      </c>
      <c r="F4" s="91">
        <f>1-_xlfn.NORM.DIST(0.25,0,1,TRUE)</f>
        <v>0.4012936743170763</v>
      </c>
      <c r="H4" s="10" t="s">
        <v>0</v>
      </c>
      <c r="I4" s="11">
        <v>0</v>
      </c>
      <c r="J4" s="11">
        <v>0.01</v>
      </c>
      <c r="K4" s="11">
        <v>0.02</v>
      </c>
      <c r="L4" s="11">
        <v>0.03</v>
      </c>
      <c r="M4" s="11">
        <v>0.04</v>
      </c>
      <c r="N4" s="11">
        <v>0.05</v>
      </c>
      <c r="O4" s="11">
        <v>0.06</v>
      </c>
      <c r="P4" s="11">
        <v>7.0000000000000007E-2</v>
      </c>
      <c r="Q4" s="11">
        <v>0.08</v>
      </c>
      <c r="R4" s="12">
        <v>0.09</v>
      </c>
    </row>
    <row r="5" spans="2:18" ht="15" customHeight="1">
      <c r="C5" s="81" t="s">
        <v>47</v>
      </c>
      <c r="D5" s="82" t="s">
        <v>55</v>
      </c>
      <c r="E5" s="89">
        <f>I17</f>
        <v>0.15865525393145696</v>
      </c>
      <c r="F5" s="91">
        <f>1-_xlfn.NORM.DIST(1,0,1,TRUE)</f>
        <v>0.15865525393145696</v>
      </c>
      <c r="H5" s="2">
        <v>0</v>
      </c>
      <c r="I5" s="3">
        <f t="shared" ref="I5:R5" si="0">1-_xlfn.NORM.DIST($H5+I$4,0,1,TRUE)</f>
        <v>0.5</v>
      </c>
      <c r="J5" s="3">
        <f t="shared" si="0"/>
        <v>0.4960106436853684</v>
      </c>
      <c r="K5" s="3">
        <f t="shared" si="0"/>
        <v>0.49202168628309795</v>
      </c>
      <c r="L5" s="3">
        <f t="shared" si="0"/>
        <v>0.48803352658588728</v>
      </c>
      <c r="M5" s="3">
        <f t="shared" si="0"/>
        <v>0.48404656314716932</v>
      </c>
      <c r="N5" s="3">
        <f t="shared" si="0"/>
        <v>0.48006119416162751</v>
      </c>
      <c r="O5" s="3">
        <f t="shared" si="0"/>
        <v>0.47607781734589316</v>
      </c>
      <c r="P5" s="3">
        <f t="shared" si="0"/>
        <v>0.47209682981947887</v>
      </c>
      <c r="Q5" s="3">
        <f t="shared" si="0"/>
        <v>0.46811862798601256</v>
      </c>
      <c r="R5" s="4">
        <f t="shared" si="0"/>
        <v>0.46414360741482796</v>
      </c>
    </row>
    <row r="6" spans="2:18" ht="15" customHeight="1">
      <c r="C6" s="81" t="s">
        <v>48</v>
      </c>
      <c r="D6" s="82" t="s">
        <v>56</v>
      </c>
      <c r="E6" s="89">
        <f>L5</f>
        <v>0.48803352658588728</v>
      </c>
      <c r="F6" s="91">
        <f>1-_xlfn.NORM.DIST(0.03,0,1,TRUE)</f>
        <v>0.48803352658588728</v>
      </c>
      <c r="H6" s="2"/>
      <c r="I6" s="5"/>
      <c r="J6" s="5"/>
      <c r="K6" s="5"/>
      <c r="L6" s="5"/>
      <c r="M6" s="5"/>
      <c r="N6" s="5"/>
      <c r="O6" s="5"/>
      <c r="P6" s="5"/>
      <c r="Q6" s="5"/>
      <c r="R6" s="6"/>
    </row>
    <row r="7" spans="2:18" ht="15" customHeight="1">
      <c r="C7" s="81" t="s">
        <v>49</v>
      </c>
      <c r="D7" s="82" t="s">
        <v>57</v>
      </c>
      <c r="E7" s="89">
        <f>J29</f>
        <v>2.221559442943144E-2</v>
      </c>
      <c r="F7" s="91">
        <f>1-_xlfn.NORM.DIST(2.01,0,1,TRUE)</f>
        <v>2.221559442943144E-2</v>
      </c>
      <c r="H7" s="2">
        <v>0.1</v>
      </c>
      <c r="I7" s="3">
        <f t="shared" ref="I7:R11" si="1">1-_xlfn.NORM.DIST($H7+I$4,0,1,TRUE)</f>
        <v>0.46017216272297101</v>
      </c>
      <c r="J7" s="3">
        <f t="shared" si="1"/>
        <v>0.45620468745768328</v>
      </c>
      <c r="K7" s="3">
        <f t="shared" si="1"/>
        <v>0.45224157397941611</v>
      </c>
      <c r="L7" s="3">
        <f t="shared" si="1"/>
        <v>0.44828321334543886</v>
      </c>
      <c r="M7" s="3">
        <f t="shared" si="1"/>
        <v>0.44432999519409355</v>
      </c>
      <c r="N7" s="3">
        <f t="shared" si="1"/>
        <v>0.4403823076297575</v>
      </c>
      <c r="O7" s="3">
        <f t="shared" si="1"/>
        <v>0.43644053710856712</v>
      </c>
      <c r="P7" s="3">
        <f t="shared" si="1"/>
        <v>0.43250506832496161</v>
      </c>
      <c r="Q7" s="3">
        <f t="shared" si="1"/>
        <v>0.4285762840990992</v>
      </c>
      <c r="R7" s="4">
        <f t="shared" si="1"/>
        <v>0.42465456526520451</v>
      </c>
    </row>
    <row r="8" spans="2:18" ht="15" customHeight="1">
      <c r="C8" s="81" t="s">
        <v>50</v>
      </c>
      <c r="D8" s="82" t="s">
        <v>58</v>
      </c>
      <c r="E8" s="89" t="s">
        <v>62</v>
      </c>
      <c r="F8" s="91">
        <f>1-_xlfn.NORM.DIST(-2.96,0,1,TRUE)</f>
        <v>0.99846180478826196</v>
      </c>
      <c r="H8" s="2">
        <v>0.2</v>
      </c>
      <c r="I8" s="3">
        <f t="shared" si="1"/>
        <v>0.42074029056089701</v>
      </c>
      <c r="J8" s="3">
        <f t="shared" si="1"/>
        <v>0.41683383651755768</v>
      </c>
      <c r="K8" s="3">
        <f t="shared" si="1"/>
        <v>0.41293557735178532</v>
      </c>
      <c r="L8" s="3">
        <f t="shared" si="1"/>
        <v>0.40904588485799409</v>
      </c>
      <c r="M8" s="3">
        <f t="shared" si="1"/>
        <v>0.40516512830220419</v>
      </c>
      <c r="N8" s="3">
        <f t="shared" si="1"/>
        <v>0.4012936743170763</v>
      </c>
      <c r="O8" s="3">
        <f t="shared" si="1"/>
        <v>0.39743188679823949</v>
      </c>
      <c r="P8" s="3">
        <f t="shared" si="1"/>
        <v>0.39358012680196053</v>
      </c>
      <c r="Q8" s="3">
        <f t="shared" si="1"/>
        <v>0.38973875244420275</v>
      </c>
      <c r="R8" s="4">
        <f t="shared" si="1"/>
        <v>0.38590811880112263</v>
      </c>
    </row>
    <row r="9" spans="2:18" ht="15" customHeight="1">
      <c r="C9" s="81" t="s">
        <v>51</v>
      </c>
      <c r="D9" s="82" t="s">
        <v>59</v>
      </c>
      <c r="E9" s="89">
        <f>1-N8</f>
        <v>0.5987063256829237</v>
      </c>
      <c r="F9" s="91">
        <f>1-_xlfn.NORM.DIST(-0.25,0,1,TRUE)</f>
        <v>0.5987063256829237</v>
      </c>
      <c r="H9" s="2">
        <v>0.3</v>
      </c>
      <c r="I9" s="3">
        <f t="shared" si="1"/>
        <v>0.38208857781104733</v>
      </c>
      <c r="J9" s="3">
        <f t="shared" si="1"/>
        <v>0.37828047817798072</v>
      </c>
      <c r="K9" s="3">
        <f t="shared" si="1"/>
        <v>0.37448416527667994</v>
      </c>
      <c r="L9" s="3">
        <f t="shared" si="1"/>
        <v>0.37069998105934654</v>
      </c>
      <c r="M9" s="3">
        <f t="shared" si="1"/>
        <v>0.36692826396397193</v>
      </c>
      <c r="N9" s="3">
        <f t="shared" si="1"/>
        <v>0.3631693488243809</v>
      </c>
      <c r="O9" s="3">
        <f t="shared" si="1"/>
        <v>0.35942356678200871</v>
      </c>
      <c r="P9" s="3">
        <f t="shared" si="1"/>
        <v>0.35569124519945317</v>
      </c>
      <c r="Q9" s="3">
        <f t="shared" si="1"/>
        <v>0.35197270757583721</v>
      </c>
      <c r="R9" s="4">
        <f t="shared" si="1"/>
        <v>0.34826827346401756</v>
      </c>
    </row>
    <row r="10" spans="2:18" ht="15" customHeight="1">
      <c r="C10" s="81" t="s">
        <v>52</v>
      </c>
      <c r="D10" s="82" t="s">
        <v>60</v>
      </c>
      <c r="E10" s="89">
        <f>1-(N8*2)</f>
        <v>0.1974126513658474</v>
      </c>
      <c r="F10" s="91">
        <f>1-((1-_xlfn.NORM.DIST(0.25,0,1,TRUE))+(1-_xlfn.NORM.DIST(0.25,0,1,TRUE)))</f>
        <v>0.1974126513658474</v>
      </c>
      <c r="H10" s="2">
        <v>0.4</v>
      </c>
      <c r="I10" s="3">
        <f t="shared" si="1"/>
        <v>0.34457825838967571</v>
      </c>
      <c r="J10" s="3">
        <f t="shared" si="1"/>
        <v>0.34090297377232259</v>
      </c>
      <c r="K10" s="3">
        <f t="shared" si="1"/>
        <v>0.33724272684824941</v>
      </c>
      <c r="L10" s="3">
        <f t="shared" si="1"/>
        <v>0.33359782059545762</v>
      </c>
      <c r="M10" s="3">
        <f t="shared" si="1"/>
        <v>0.32996855366059363</v>
      </c>
      <c r="N10" s="3">
        <f t="shared" si="1"/>
        <v>0.32635522028791997</v>
      </c>
      <c r="O10" s="3">
        <f t="shared" si="1"/>
        <v>0.32275811025034773</v>
      </c>
      <c r="P10" s="3">
        <f t="shared" si="1"/>
        <v>0.3191775087825558</v>
      </c>
      <c r="Q10" s="3">
        <f t="shared" si="1"/>
        <v>0.31561369651622251</v>
      </c>
      <c r="R10" s="4">
        <f t="shared" si="1"/>
        <v>0.31206694941739055</v>
      </c>
    </row>
    <row r="11" spans="2:18" ht="15" customHeight="1" thickBot="1">
      <c r="C11" s="83" t="s">
        <v>53</v>
      </c>
      <c r="D11" s="84" t="s">
        <v>61</v>
      </c>
      <c r="E11" s="90">
        <f>1-(N5+L31)</f>
        <v>0.5033529991547675</v>
      </c>
      <c r="F11" s="91">
        <f>1-((1-_xlfn.NORM.DIST(0.05,0,1,TRUE))+(1-_xlfn.NORM.DIST(2.13,0,1,TRUE)))</f>
        <v>0.5033529991547675</v>
      </c>
      <c r="H11" s="2">
        <v>0.5</v>
      </c>
      <c r="I11" s="3">
        <f t="shared" si="1"/>
        <v>0.30853753872598688</v>
      </c>
      <c r="J11" s="3">
        <f t="shared" si="1"/>
        <v>0.30502573089751939</v>
      </c>
      <c r="K11" s="3">
        <f t="shared" si="1"/>
        <v>0.30153178754696619</v>
      </c>
      <c r="L11" s="3">
        <f t="shared" si="1"/>
        <v>0.29805596539487644</v>
      </c>
      <c r="M11" s="3">
        <f t="shared" si="1"/>
        <v>0.29459851621569799</v>
      </c>
      <c r="N11" s="3">
        <f t="shared" si="1"/>
        <v>0.29115968678834636</v>
      </c>
      <c r="O11" s="3">
        <f t="shared" si="1"/>
        <v>0.28773971884902705</v>
      </c>
      <c r="P11" s="3">
        <f t="shared" si="1"/>
        <v>0.28433884904632412</v>
      </c>
      <c r="Q11" s="3">
        <f t="shared" si="1"/>
        <v>0.2809573088985643</v>
      </c>
      <c r="R11" s="4">
        <f t="shared" si="1"/>
        <v>0.27759532475346493</v>
      </c>
    </row>
    <row r="12" spans="2:18" ht="15" customHeight="1" thickTop="1">
      <c r="H12" s="2"/>
      <c r="I12" s="5"/>
      <c r="J12" s="5"/>
      <c r="K12" s="5"/>
      <c r="L12" s="5"/>
      <c r="M12" s="5"/>
      <c r="N12" s="5"/>
      <c r="O12" s="5"/>
      <c r="P12" s="5"/>
      <c r="Q12" s="5"/>
      <c r="R12" s="6"/>
    </row>
    <row r="13" spans="2:18" ht="15" customHeight="1">
      <c r="H13" s="2">
        <v>0.6</v>
      </c>
      <c r="I13" s="3">
        <f t="shared" ref="I13:R17" si="2">1-_xlfn.NORM.DIST($H13+I$4,0,1,TRUE)</f>
        <v>0.27425311775007355</v>
      </c>
      <c r="J13" s="3">
        <f t="shared" si="2"/>
        <v>0.27093090378300566</v>
      </c>
      <c r="K13" s="3">
        <f t="shared" si="2"/>
        <v>0.267628893468983</v>
      </c>
      <c r="L13" s="3">
        <f t="shared" si="2"/>
        <v>0.26434729211567753</v>
      </c>
      <c r="M13" s="3">
        <f t="shared" si="2"/>
        <v>0.26108629969286157</v>
      </c>
      <c r="N13" s="3">
        <f t="shared" si="2"/>
        <v>0.25784611080586473</v>
      </c>
      <c r="O13" s="3">
        <f t="shared" si="2"/>
        <v>0.25462691467133614</v>
      </c>
      <c r="P13" s="3">
        <f t="shared" si="2"/>
        <v>0.25142889509531008</v>
      </c>
      <c r="Q13" s="3">
        <f t="shared" si="2"/>
        <v>0.24825223045357048</v>
      </c>
      <c r="R13" s="4">
        <f t="shared" si="2"/>
        <v>0.24509709367430943</v>
      </c>
    </row>
    <row r="14" spans="2:18" ht="15" customHeight="1">
      <c r="H14" s="2">
        <v>0.7</v>
      </c>
      <c r="I14" s="3">
        <f t="shared" si="2"/>
        <v>0.24196365222307303</v>
      </c>
      <c r="J14" s="3">
        <f t="shared" si="2"/>
        <v>0.23885206808998671</v>
      </c>
      <c r="K14" s="3">
        <f t="shared" si="2"/>
        <v>0.23576249777925118</v>
      </c>
      <c r="L14" s="3">
        <f t="shared" si="2"/>
        <v>0.23269509230089747</v>
      </c>
      <c r="M14" s="3">
        <f t="shared" si="2"/>
        <v>0.22964999716479062</v>
      </c>
      <c r="N14" s="3">
        <f t="shared" si="2"/>
        <v>0.22662735237686826</v>
      </c>
      <c r="O14" s="3">
        <f t="shared" si="2"/>
        <v>0.22362729243759938</v>
      </c>
      <c r="P14" s="3">
        <f t="shared" si="2"/>
        <v>0.22064994634264956</v>
      </c>
      <c r="Q14" s="3">
        <f t="shared" si="2"/>
        <v>0.21769543758573318</v>
      </c>
      <c r="R14" s="4">
        <f t="shared" si="2"/>
        <v>0.21476388416363723</v>
      </c>
    </row>
    <row r="15" spans="2:18" ht="15" customHeight="1">
      <c r="H15" s="2">
        <v>0.8</v>
      </c>
      <c r="I15" s="3">
        <f t="shared" si="2"/>
        <v>0.21185539858339664</v>
      </c>
      <c r="J15" s="3">
        <f t="shared" si="2"/>
        <v>0.20897008787160165</v>
      </c>
      <c r="K15" s="3">
        <f t="shared" si="2"/>
        <v>0.20610805358581308</v>
      </c>
      <c r="L15" s="3">
        <f t="shared" si="2"/>
        <v>0.20326939182806836</v>
      </c>
      <c r="M15" s="3">
        <f t="shared" si="2"/>
        <v>0.20045419326044966</v>
      </c>
      <c r="N15" s="3">
        <f t="shared" si="2"/>
        <v>0.19766254312269238</v>
      </c>
      <c r="O15" s="3">
        <f t="shared" si="2"/>
        <v>0.19489452125180828</v>
      </c>
      <c r="P15" s="3">
        <f t="shared" si="2"/>
        <v>0.19215020210369615</v>
      </c>
      <c r="Q15" s="3">
        <f t="shared" si="2"/>
        <v>0.18942965477671214</v>
      </c>
      <c r="R15" s="4">
        <f t="shared" si="2"/>
        <v>0.18673294303717258</v>
      </c>
    </row>
    <row r="16" spans="2:18" ht="15" customHeight="1">
      <c r="H16" s="2">
        <v>0.9</v>
      </c>
      <c r="I16" s="3">
        <f t="shared" si="2"/>
        <v>0.18406012534675953</v>
      </c>
      <c r="J16" s="3">
        <f t="shared" si="2"/>
        <v>0.18141125489179721</v>
      </c>
      <c r="K16" s="3">
        <f t="shared" si="2"/>
        <v>0.17878637961437172</v>
      </c>
      <c r="L16" s="3">
        <f t="shared" si="2"/>
        <v>0.17618554224525784</v>
      </c>
      <c r="M16" s="3">
        <f t="shared" si="2"/>
        <v>0.17360878033862448</v>
      </c>
      <c r="N16" s="3">
        <f t="shared" si="2"/>
        <v>0.17105612630848177</v>
      </c>
      <c r="O16" s="3">
        <f t="shared" si="2"/>
        <v>0.16852760746683781</v>
      </c>
      <c r="P16" s="3">
        <f t="shared" si="2"/>
        <v>0.16602324606352958</v>
      </c>
      <c r="Q16" s="3">
        <f t="shared" si="2"/>
        <v>0.16354305932769231</v>
      </c>
      <c r="R16" s="4">
        <f t="shared" si="2"/>
        <v>0.16108705951083091</v>
      </c>
    </row>
    <row r="17" spans="8:18" ht="15" customHeight="1">
      <c r="H17" s="2">
        <v>1</v>
      </c>
      <c r="I17" s="3">
        <f t="shared" si="2"/>
        <v>0.15865525393145696</v>
      </c>
      <c r="J17" s="3">
        <f t="shared" si="2"/>
        <v>0.15624764502125454</v>
      </c>
      <c r="K17" s="3">
        <f t="shared" si="2"/>
        <v>0.15386423037273489</v>
      </c>
      <c r="L17" s="3">
        <f t="shared" si="2"/>
        <v>0.15150500278834367</v>
      </c>
      <c r="M17" s="3">
        <f t="shared" si="2"/>
        <v>0.14916995033098135</v>
      </c>
      <c r="N17" s="3">
        <f t="shared" si="2"/>
        <v>0.14685905637589591</v>
      </c>
      <c r="O17" s="3">
        <f t="shared" si="2"/>
        <v>0.14457229966390961</v>
      </c>
      <c r="P17" s="3">
        <f t="shared" si="2"/>
        <v>0.14230965435593923</v>
      </c>
      <c r="Q17" s="3">
        <f t="shared" si="2"/>
        <v>0.14007109008876906</v>
      </c>
      <c r="R17" s="4">
        <f t="shared" si="2"/>
        <v>0.1378565720320355</v>
      </c>
    </row>
    <row r="18" spans="8:18" ht="15" customHeight="1">
      <c r="H18" s="2"/>
      <c r="I18" s="5"/>
      <c r="J18" s="5"/>
      <c r="K18" s="5"/>
      <c r="L18" s="5"/>
      <c r="M18" s="5"/>
      <c r="N18" s="5"/>
      <c r="O18" s="5"/>
      <c r="P18" s="5"/>
      <c r="Q18" s="5"/>
      <c r="R18" s="6"/>
    </row>
    <row r="19" spans="8:18" ht="15" customHeight="1">
      <c r="H19" s="2">
        <v>1.1000000000000001</v>
      </c>
      <c r="I19" s="3">
        <f t="shared" ref="I19:R23" si="3">1-_xlfn.NORM.DIST($H19+I$4,0,1,TRUE)</f>
        <v>0.13566606094638267</v>
      </c>
      <c r="J19" s="3">
        <f t="shared" si="3"/>
        <v>0.13349951324274723</v>
      </c>
      <c r="K19" s="3">
        <f t="shared" si="3"/>
        <v>0.13135688104273069</v>
      </c>
      <c r="L19" s="3">
        <f t="shared" si="3"/>
        <v>0.1292381122400178</v>
      </c>
      <c r="M19" s="3">
        <f t="shared" si="3"/>
        <v>0.12714315056279824</v>
      </c>
      <c r="N19" s="3">
        <f t="shared" si="3"/>
        <v>0.12507193563715013</v>
      </c>
      <c r="O19" s="3">
        <f t="shared" si="3"/>
        <v>0.12302440305134332</v>
      </c>
      <c r="P19" s="3">
        <f t="shared" si="3"/>
        <v>0.12100048442101818</v>
      </c>
      <c r="Q19" s="3">
        <f t="shared" si="3"/>
        <v>0.11900010745520062</v>
      </c>
      <c r="R19" s="4">
        <f t="shared" si="3"/>
        <v>0.11702319602310873</v>
      </c>
    </row>
    <row r="20" spans="8:18" ht="15" customHeight="1">
      <c r="H20" s="2">
        <v>1.2</v>
      </c>
      <c r="I20" s="3">
        <f t="shared" si="3"/>
        <v>0.11506967022170822</v>
      </c>
      <c r="J20" s="3">
        <f t="shared" si="3"/>
        <v>0.11313944644397722</v>
      </c>
      <c r="K20" s="3">
        <f t="shared" si="3"/>
        <v>0.11123243744783462</v>
      </c>
      <c r="L20" s="3">
        <f t="shared" si="3"/>
        <v>0.10934855242569186</v>
      </c>
      <c r="M20" s="3">
        <f t="shared" si="3"/>
        <v>0.10748769707458694</v>
      </c>
      <c r="N20" s="3">
        <f t="shared" si="3"/>
        <v>0.10564977366685524</v>
      </c>
      <c r="O20" s="3">
        <f t="shared" si="3"/>
        <v>0.10383468112130034</v>
      </c>
      <c r="P20" s="3">
        <f t="shared" si="3"/>
        <v>0.10204231507481909</v>
      </c>
      <c r="Q20" s="3">
        <f t="shared" si="3"/>
        <v>0.10027256795444206</v>
      </c>
      <c r="R20" s="4">
        <f t="shared" si="3"/>
        <v>9.8525329049747867E-2</v>
      </c>
    </row>
    <row r="21" spans="8:18" ht="15" customHeight="1">
      <c r="H21" s="2">
        <v>1.3</v>
      </c>
      <c r="I21" s="3">
        <f t="shared" si="3"/>
        <v>9.6800484585610302E-2</v>
      </c>
      <c r="J21" s="3">
        <f t="shared" si="3"/>
        <v>9.5097917795239018E-2</v>
      </c>
      <c r="K21" s="3">
        <f t="shared" si="3"/>
        <v>9.3417508993471787E-2</v>
      </c>
      <c r="L21" s="3">
        <f t="shared" si="3"/>
        <v>9.1759135650280821E-2</v>
      </c>
      <c r="M21" s="3">
        <f t="shared" si="3"/>
        <v>9.0122672464452491E-2</v>
      </c>
      <c r="N21" s="3">
        <f t="shared" si="3"/>
        <v>8.8507991437401956E-2</v>
      </c>
      <c r="O21" s="3">
        <f t="shared" si="3"/>
        <v>8.6914961947085034E-2</v>
      </c>
      <c r="P21" s="3">
        <f t="shared" si="3"/>
        <v>8.5343450821966926E-2</v>
      </c>
      <c r="Q21" s="3">
        <f t="shared" si="3"/>
        <v>8.3793322415014249E-2</v>
      </c>
      <c r="R21" s="4">
        <f t="shared" si="3"/>
        <v>8.2264438677668861E-2</v>
      </c>
    </row>
    <row r="22" spans="8:18" ht="15" customHeight="1">
      <c r="H22" s="2">
        <v>1.4</v>
      </c>
      <c r="I22" s="3">
        <f t="shared" si="3"/>
        <v>8.0756659233771066E-2</v>
      </c>
      <c r="J22" s="3">
        <f t="shared" si="3"/>
        <v>7.9269841453392442E-2</v>
      </c>
      <c r="K22" s="3">
        <f t="shared" si="3"/>
        <v>7.780384052654632E-2</v>
      </c>
      <c r="L22" s="3">
        <f t="shared" si="3"/>
        <v>7.6358509536739172E-2</v>
      </c>
      <c r="M22" s="3">
        <f t="shared" si="3"/>
        <v>7.4933699534327047E-2</v>
      </c>
      <c r="N22" s="3">
        <f t="shared" si="3"/>
        <v>7.3529259609648401E-2</v>
      </c>
      <c r="O22" s="3">
        <f t="shared" si="3"/>
        <v>7.2145036965893805E-2</v>
      </c>
      <c r="P22" s="3">
        <f t="shared" si="3"/>
        <v>7.078087699168556E-2</v>
      </c>
      <c r="Q22" s="3">
        <f t="shared" si="3"/>
        <v>6.9436623333331671E-2</v>
      </c>
      <c r="R22" s="4">
        <f t="shared" si="3"/>
        <v>6.8112117966725449E-2</v>
      </c>
    </row>
    <row r="23" spans="8:18" ht="15" customHeight="1">
      <c r="H23" s="2">
        <v>1.5</v>
      </c>
      <c r="I23" s="3">
        <f t="shared" si="3"/>
        <v>6.6807201268858085E-2</v>
      </c>
      <c r="J23" s="3">
        <f t="shared" si="3"/>
        <v>6.5521712088916439E-2</v>
      </c>
      <c r="K23" s="3">
        <f t="shared" si="3"/>
        <v>6.4255487818935753E-2</v>
      </c>
      <c r="L23" s="3">
        <f t="shared" si="3"/>
        <v>6.3008364463978395E-2</v>
      </c>
      <c r="M23" s="3">
        <f t="shared" si="3"/>
        <v>6.1780176711811907E-2</v>
      </c>
      <c r="N23" s="3">
        <f t="shared" si="3"/>
        <v>6.0570758002059022E-2</v>
      </c>
      <c r="O23" s="3">
        <f t="shared" si="3"/>
        <v>5.9379940594793013E-2</v>
      </c>
      <c r="P23" s="3">
        <f t="shared" si="3"/>
        <v>5.8207555638553066E-2</v>
      </c>
      <c r="Q23" s="3">
        <f t="shared" si="3"/>
        <v>5.7053433237754136E-2</v>
      </c>
      <c r="R23" s="4">
        <f t="shared" si="3"/>
        <v>5.5917402519469417E-2</v>
      </c>
    </row>
    <row r="24" spans="8:18" ht="15" customHeight="1">
      <c r="H24" s="2"/>
      <c r="I24" s="5"/>
      <c r="J24" s="5"/>
      <c r="K24" s="5"/>
      <c r="L24" s="5"/>
      <c r="M24" s="5"/>
      <c r="N24" s="5"/>
      <c r="O24" s="5"/>
      <c r="P24" s="5"/>
      <c r="Q24" s="5"/>
      <c r="R24" s="6"/>
    </row>
    <row r="25" spans="8:18" ht="15" customHeight="1">
      <c r="H25" s="2">
        <v>1.6</v>
      </c>
      <c r="I25" s="3">
        <f t="shared" ref="I25:R29" si="4">1-_xlfn.NORM.DIST($H25+I$4,0,1,TRUE)</f>
        <v>5.4799291699557995E-2</v>
      </c>
      <c r="J25" s="3">
        <f t="shared" si="4"/>
        <v>5.3698928148119718E-2</v>
      </c>
      <c r="K25" s="3">
        <f t="shared" si="4"/>
        <v>5.2616138454252059E-2</v>
      </c>
      <c r="L25" s="3">
        <f t="shared" si="4"/>
        <v>5.1550748490089338E-2</v>
      </c>
      <c r="M25" s="3">
        <f t="shared" si="4"/>
        <v>5.0502583474103746E-2</v>
      </c>
      <c r="N25" s="3">
        <f t="shared" si="4"/>
        <v>4.9471468033648103E-2</v>
      </c>
      <c r="O25" s="3">
        <f t="shared" si="4"/>
        <v>4.8457226266722775E-2</v>
      </c>
      <c r="P25" s="3">
        <f t="shared" si="4"/>
        <v>4.7459681802947351E-2</v>
      </c>
      <c r="Q25" s="3">
        <f t="shared" si="4"/>
        <v>4.6478657863719963E-2</v>
      </c>
      <c r="R25" s="4">
        <f t="shared" si="4"/>
        <v>4.5513977321549826E-2</v>
      </c>
    </row>
    <row r="26" spans="8:18" ht="15" customHeight="1">
      <c r="H26" s="2">
        <v>1.7</v>
      </c>
      <c r="I26" s="3">
        <f t="shared" si="4"/>
        <v>4.4565462758543006E-2</v>
      </c>
      <c r="J26" s="3">
        <f t="shared" si="4"/>
        <v>4.3632936524031884E-2</v>
      </c>
      <c r="K26" s="3">
        <f t="shared" si="4"/>
        <v>4.2716220791328863E-2</v>
      </c>
      <c r="L26" s="3">
        <f t="shared" si="4"/>
        <v>4.1815137613594899E-2</v>
      </c>
      <c r="M26" s="3">
        <f t="shared" si="4"/>
        <v>4.0929508978807316E-2</v>
      </c>
      <c r="N26" s="3">
        <f t="shared" si="4"/>
        <v>4.0059156863817114E-2</v>
      </c>
      <c r="O26" s="3">
        <f t="shared" si="4"/>
        <v>3.9203903287482689E-2</v>
      </c>
      <c r="P26" s="3">
        <f t="shared" si="4"/>
        <v>3.8363570362871191E-2</v>
      </c>
      <c r="Q26" s="3">
        <f t="shared" si="4"/>
        <v>3.7537980348516742E-2</v>
      </c>
      <c r="R26" s="4">
        <f t="shared" si="4"/>
        <v>3.6726955698726305E-2</v>
      </c>
    </row>
    <row r="27" spans="8:18" ht="15" customHeight="1">
      <c r="H27" s="2">
        <v>1.8</v>
      </c>
      <c r="I27" s="3">
        <f t="shared" si="4"/>
        <v>3.5930319112925768E-2</v>
      </c>
      <c r="J27" s="3">
        <f t="shared" si="4"/>
        <v>3.5147893584038803E-2</v>
      </c>
      <c r="K27" s="3">
        <f t="shared" si="4"/>
        <v>3.4379502445889942E-2</v>
      </c>
      <c r="L27" s="3">
        <f t="shared" si="4"/>
        <v>3.3624969419628337E-2</v>
      </c>
      <c r="M27" s="3">
        <f t="shared" si="4"/>
        <v>3.2884118659163852E-2</v>
      </c>
      <c r="N27" s="3">
        <f t="shared" si="4"/>
        <v>3.2156774795613741E-2</v>
      </c>
      <c r="O27" s="3">
        <f t="shared" si="4"/>
        <v>3.1442762980752659E-2</v>
      </c>
      <c r="P27" s="3">
        <f t="shared" si="4"/>
        <v>3.0741908929465933E-2</v>
      </c>
      <c r="Q27" s="3">
        <f t="shared" si="4"/>
        <v>3.0054038961199736E-2</v>
      </c>
      <c r="R27" s="4">
        <f t="shared" si="4"/>
        <v>2.9378980040409397E-2</v>
      </c>
    </row>
    <row r="28" spans="8:18" ht="15" customHeight="1">
      <c r="H28" s="2">
        <v>1.9</v>
      </c>
      <c r="I28" s="3">
        <f t="shared" si="4"/>
        <v>2.8716559816001852E-2</v>
      </c>
      <c r="J28" s="3">
        <f t="shared" si="4"/>
        <v>2.8066606659772564E-2</v>
      </c>
      <c r="K28" s="3">
        <f t="shared" si="4"/>
        <v>2.7428949703836802E-2</v>
      </c>
      <c r="L28" s="3">
        <f t="shared" si="4"/>
        <v>2.6803418877054952E-2</v>
      </c>
      <c r="M28" s="3">
        <f t="shared" si="4"/>
        <v>2.6189844940452733E-2</v>
      </c>
      <c r="N28" s="3">
        <f t="shared" si="4"/>
        <v>2.5588059521638562E-2</v>
      </c>
      <c r="O28" s="3">
        <f t="shared" si="4"/>
        <v>2.4997895148220484E-2</v>
      </c>
      <c r="P28" s="3">
        <f t="shared" si="4"/>
        <v>2.4419185280222577E-2</v>
      </c>
      <c r="Q28" s="3">
        <f t="shared" si="4"/>
        <v>2.3851764341508486E-2</v>
      </c>
      <c r="R28" s="4">
        <f t="shared" si="4"/>
        <v>2.3295467750211851E-2</v>
      </c>
    </row>
    <row r="29" spans="8:18" ht="15" customHeight="1">
      <c r="H29" s="2">
        <v>2</v>
      </c>
      <c r="I29" s="3">
        <f t="shared" si="4"/>
        <v>2.2750131948179209E-2</v>
      </c>
      <c r="J29" s="3">
        <f t="shared" si="4"/>
        <v>2.221559442943144E-2</v>
      </c>
      <c r="K29" s="3">
        <f t="shared" si="4"/>
        <v>2.1691693767646791E-2</v>
      </c>
      <c r="L29" s="3">
        <f t="shared" si="4"/>
        <v>2.1178269642672221E-2</v>
      </c>
      <c r="M29" s="3">
        <f t="shared" si="4"/>
        <v>2.0675162866070074E-2</v>
      </c>
      <c r="N29" s="3">
        <f t="shared" si="4"/>
        <v>2.0182215405704418E-2</v>
      </c>
      <c r="O29" s="3">
        <f t="shared" si="4"/>
        <v>1.9699270409376912E-2</v>
      </c>
      <c r="P29" s="3">
        <f t="shared" si="4"/>
        <v>1.9226172227517324E-2</v>
      </c>
      <c r="Q29" s="3">
        <f t="shared" si="4"/>
        <v>1.8762766434937794E-2</v>
      </c>
      <c r="R29" s="4">
        <f t="shared" si="4"/>
        <v>1.8308899851658955E-2</v>
      </c>
    </row>
    <row r="30" spans="8:18" ht="15" customHeight="1">
      <c r="H30" s="2"/>
      <c r="I30" s="5"/>
      <c r="J30" s="5"/>
      <c r="K30" s="5"/>
      <c r="L30" s="5"/>
      <c r="M30" s="5"/>
      <c r="N30" s="5"/>
      <c r="O30" s="5"/>
      <c r="P30" s="5"/>
      <c r="Q30" s="5"/>
      <c r="R30" s="6"/>
    </row>
    <row r="31" spans="8:18" ht="15" customHeight="1">
      <c r="H31" s="2">
        <v>2.1</v>
      </c>
      <c r="I31" s="3">
        <f t="shared" ref="I31:R35" si="5">1-_xlfn.NORM.DIST($H31+I$4,0,1,TRUE)</f>
        <v>1.7864420562816563E-2</v>
      </c>
      <c r="J31" s="3">
        <f t="shared" si="5"/>
        <v>1.7429177937657081E-2</v>
      </c>
      <c r="K31" s="3">
        <f t="shared" si="5"/>
        <v>1.700302264763276E-2</v>
      </c>
      <c r="L31" s="3">
        <f t="shared" si="5"/>
        <v>1.6585806683604987E-2</v>
      </c>
      <c r="M31" s="3">
        <f t="shared" si="5"/>
        <v>1.6177383372166121E-2</v>
      </c>
      <c r="N31" s="3">
        <f t="shared" si="5"/>
        <v>1.5777607391090465E-2</v>
      </c>
      <c r="O31" s="3">
        <f t="shared" si="5"/>
        <v>1.5386334783925482E-2</v>
      </c>
      <c r="P31" s="3">
        <f t="shared" si="5"/>
        <v>1.500342297373225E-2</v>
      </c>
      <c r="Q31" s="3">
        <f t="shared" si="5"/>
        <v>1.4628730775989252E-2</v>
      </c>
      <c r="R31" s="4">
        <f t="shared" si="5"/>
        <v>1.4262118410668823E-2</v>
      </c>
    </row>
    <row r="32" spans="8:18" ht="15" customHeight="1">
      <c r="H32" s="2">
        <v>2.2000000000000002</v>
      </c>
      <c r="I32" s="3">
        <f t="shared" si="5"/>
        <v>1.390344751349859E-2</v>
      </c>
      <c r="J32" s="3">
        <f t="shared" si="5"/>
        <v>1.3552581146419995E-2</v>
      </c>
      <c r="K32" s="3">
        <f t="shared" si="5"/>
        <v>1.3209383807256225E-2</v>
      </c>
      <c r="L32" s="3">
        <f t="shared" si="5"/>
        <v>1.2873721438601993E-2</v>
      </c>
      <c r="M32" s="3">
        <f t="shared" si="5"/>
        <v>1.2545461435946592E-2</v>
      </c>
      <c r="N32" s="3">
        <f t="shared" si="5"/>
        <v>1.2224472655044671E-2</v>
      </c>
      <c r="O32" s="3">
        <f t="shared" si="5"/>
        <v>1.1910625418547038E-2</v>
      </c>
      <c r="P32" s="3">
        <f t="shared" si="5"/>
        <v>1.1603791521903495E-2</v>
      </c>
      <c r="Q32" s="3">
        <f t="shared" si="5"/>
        <v>1.1303844238552796E-2</v>
      </c>
      <c r="R32" s="4">
        <f t="shared" si="5"/>
        <v>1.1010658324411393E-2</v>
      </c>
    </row>
    <row r="33" spans="8:18" ht="15" customHeight="1">
      <c r="H33" s="2">
        <v>2.2999999999999998</v>
      </c>
      <c r="I33" s="3">
        <f t="shared" si="5"/>
        <v>1.0724110021675837E-2</v>
      </c>
      <c r="J33" s="3">
        <f t="shared" si="5"/>
        <v>1.0444077061951051E-2</v>
      </c>
      <c r="K33" s="3">
        <f t="shared" si="5"/>
        <v>1.0170438668719695E-2</v>
      </c>
      <c r="L33" s="3">
        <f t="shared" si="5"/>
        <v>9.9030755591642539E-3</v>
      </c>
      <c r="M33" s="3">
        <f t="shared" si="5"/>
        <v>9.6418699453583168E-3</v>
      </c>
      <c r="N33" s="3">
        <f t="shared" si="5"/>
        <v>9.3867055348385575E-3</v>
      </c>
      <c r="O33" s="3">
        <f t="shared" si="5"/>
        <v>9.1374675305726516E-3</v>
      </c>
      <c r="P33" s="3">
        <f t="shared" si="5"/>
        <v>8.8940426303367737E-3</v>
      </c>
      <c r="Q33" s="3">
        <f t="shared" si="5"/>
        <v>8.6563190255165567E-3</v>
      </c>
      <c r="R33" s="4">
        <f t="shared" si="5"/>
        <v>8.4241863993457233E-3</v>
      </c>
    </row>
    <row r="34" spans="8:18" ht="15" customHeight="1">
      <c r="H34" s="2">
        <v>2.4</v>
      </c>
      <c r="I34" s="3">
        <f t="shared" si="5"/>
        <v>8.1975359245961554E-3</v>
      </c>
      <c r="J34" s="3">
        <f t="shared" si="5"/>
        <v>7.9762602607337252E-3</v>
      </c>
      <c r="K34" s="3">
        <f t="shared" si="5"/>
        <v>7.760253550553653E-3</v>
      </c>
      <c r="L34" s="3">
        <f t="shared" si="5"/>
        <v>7.5494114163091597E-3</v>
      </c>
      <c r="M34" s="3">
        <f t="shared" si="5"/>
        <v>7.3436309553482904E-3</v>
      </c>
      <c r="N34" s="3">
        <f t="shared" si="5"/>
        <v>7.1428107352714543E-3</v>
      </c>
      <c r="O34" s="3">
        <f t="shared" si="5"/>
        <v>6.9468507886243369E-3</v>
      </c>
      <c r="P34" s="3">
        <f t="shared" si="5"/>
        <v>6.7556526071406164E-3</v>
      </c>
      <c r="Q34" s="3">
        <f t="shared" si="5"/>
        <v>6.5691191355468082E-3</v>
      </c>
      <c r="R34" s="4">
        <f t="shared" si="5"/>
        <v>6.3871547649432259E-3</v>
      </c>
    </row>
    <row r="35" spans="8:18" ht="15" customHeight="1">
      <c r="H35" s="2">
        <v>2.5</v>
      </c>
      <c r="I35" s="3">
        <f t="shared" si="5"/>
        <v>6.2096653257761592E-3</v>
      </c>
      <c r="J35" s="3">
        <f t="shared" si="5"/>
        <v>6.0365580804127017E-3</v>
      </c>
      <c r="K35" s="3">
        <f t="shared" si="5"/>
        <v>5.8677417153325528E-3</v>
      </c>
      <c r="L35" s="3">
        <f t="shared" si="5"/>
        <v>5.7031263329506698E-3</v>
      </c>
      <c r="M35" s="3">
        <f t="shared" si="5"/>
        <v>5.5426234430826504E-3</v>
      </c>
      <c r="N35" s="3">
        <f t="shared" si="5"/>
        <v>5.3861459540667234E-3</v>
      </c>
      <c r="O35" s="3">
        <f t="shared" si="5"/>
        <v>5.2336081635557807E-3</v>
      </c>
      <c r="P35" s="3">
        <f t="shared" si="5"/>
        <v>5.0849257489909983E-3</v>
      </c>
      <c r="Q35" s="3">
        <f t="shared" si="5"/>
        <v>4.9400157577705883E-3</v>
      </c>
      <c r="R35" s="4">
        <f t="shared" si="5"/>
        <v>4.7987965971262314E-3</v>
      </c>
    </row>
    <row r="36" spans="8:18" ht="15" customHeight="1">
      <c r="H36" s="2"/>
      <c r="I36" s="5"/>
      <c r="J36" s="5"/>
      <c r="K36" s="5"/>
      <c r="L36" s="5"/>
      <c r="M36" s="5"/>
      <c r="N36" s="5"/>
      <c r="O36" s="5"/>
      <c r="P36" s="5"/>
      <c r="Q36" s="5"/>
      <c r="R36" s="6"/>
    </row>
    <row r="37" spans="8:18" ht="15" customHeight="1">
      <c r="H37" s="2">
        <v>2.6</v>
      </c>
      <c r="I37" s="3">
        <f t="shared" ref="I37:R41" si="6">1-_xlfn.NORM.DIST($H37+I$4,0,1,TRUE)</f>
        <v>4.661188023718732E-3</v>
      </c>
      <c r="J37" s="3">
        <f t="shared" si="6"/>
        <v>4.5271111329673319E-3</v>
      </c>
      <c r="K37" s="3">
        <f t="shared" si="6"/>
        <v>4.3964883481213413E-3</v>
      </c>
      <c r="L37" s="3">
        <f t="shared" si="6"/>
        <v>4.2692434090892961E-3</v>
      </c>
      <c r="M37" s="3">
        <f t="shared" si="6"/>
        <v>4.14530136103608E-3</v>
      </c>
      <c r="N37" s="3">
        <f t="shared" si="6"/>
        <v>4.0245885427583339E-3</v>
      </c>
      <c r="O37" s="3">
        <f t="shared" si="6"/>
        <v>3.907032574852809E-3</v>
      </c>
      <c r="P37" s="3">
        <f t="shared" si="6"/>
        <v>3.7925623476854353E-3</v>
      </c>
      <c r="Q37" s="3">
        <f t="shared" si="6"/>
        <v>3.6811080091749826E-3</v>
      </c>
      <c r="R37" s="4">
        <f t="shared" si="6"/>
        <v>3.5726009523997515E-3</v>
      </c>
    </row>
    <row r="38" spans="8:18" ht="15" customHeight="1">
      <c r="H38" s="2">
        <v>2.7</v>
      </c>
      <c r="I38" s="3">
        <f t="shared" si="6"/>
        <v>3.4669738030406183E-3</v>
      </c>
      <c r="J38" s="3">
        <f t="shared" si="6"/>
        <v>3.3641604066692032E-3</v>
      </c>
      <c r="K38" s="3">
        <f t="shared" si="6"/>
        <v>3.2640958158912659E-3</v>
      </c>
      <c r="L38" s="3">
        <f t="shared" si="6"/>
        <v>3.1667162773577617E-3</v>
      </c>
      <c r="M38" s="3">
        <f t="shared" si="6"/>
        <v>3.0719592186504441E-3</v>
      </c>
      <c r="N38" s="3">
        <f t="shared" si="6"/>
        <v>2.9797632350545555E-3</v>
      </c>
      <c r="O38" s="3">
        <f t="shared" si="6"/>
        <v>2.8900680762261599E-3</v>
      </c>
      <c r="P38" s="3">
        <f t="shared" si="6"/>
        <v>2.8028146327649939E-3</v>
      </c>
      <c r="Q38" s="3">
        <f t="shared" si="6"/>
        <v>2.7179449227012764E-3</v>
      </c>
      <c r="R38" s="4">
        <f t="shared" si="6"/>
        <v>2.6354020779049137E-3</v>
      </c>
    </row>
    <row r="39" spans="8:18" ht="15" customHeight="1">
      <c r="H39" s="2">
        <v>2.8</v>
      </c>
      <c r="I39" s="3">
        <f t="shared" si="6"/>
        <v>2.5551303304279793E-3</v>
      </c>
      <c r="J39" s="3">
        <f t="shared" si="6"/>
        <v>2.4770749987859109E-3</v>
      </c>
      <c r="K39" s="3">
        <f t="shared" si="6"/>
        <v>2.4011824741893006E-3</v>
      </c>
      <c r="L39" s="3">
        <f t="shared" si="6"/>
        <v>2.3274002067315003E-3</v>
      </c>
      <c r="M39" s="3">
        <f t="shared" si="6"/>
        <v>2.2556766915423632E-3</v>
      </c>
      <c r="N39" s="3">
        <f t="shared" si="6"/>
        <v>2.1859614549132322E-3</v>
      </c>
      <c r="O39" s="3">
        <f t="shared" si="6"/>
        <v>2.1182050404046082E-3</v>
      </c>
      <c r="P39" s="3">
        <f t="shared" si="6"/>
        <v>2.0523589949397181E-3</v>
      </c>
      <c r="Q39" s="3">
        <f t="shared" si="6"/>
        <v>1.9883758548943087E-3</v>
      </c>
      <c r="R39" s="4">
        <f t="shared" si="6"/>
        <v>1.9262091321878838E-3</v>
      </c>
    </row>
    <row r="40" spans="8:18" ht="15" customHeight="1">
      <c r="H40" s="2">
        <v>2.9</v>
      </c>
      <c r="I40" s="3">
        <f t="shared" si="6"/>
        <v>1.8658133003840449E-3</v>
      </c>
      <c r="J40" s="3">
        <f t="shared" si="6"/>
        <v>1.8071437808064861E-3</v>
      </c>
      <c r="K40" s="3">
        <f t="shared" si="6"/>
        <v>1.7501569286760832E-3</v>
      </c>
      <c r="L40" s="3">
        <f t="shared" si="6"/>
        <v>1.694810019277293E-3</v>
      </c>
      <c r="M40" s="3">
        <f t="shared" si="6"/>
        <v>1.6410612341569708E-3</v>
      </c>
      <c r="N40" s="3">
        <f t="shared" si="6"/>
        <v>1.5888696473648212E-3</v>
      </c>
      <c r="O40" s="3">
        <f t="shared" si="6"/>
        <v>1.538195211738036E-3</v>
      </c>
      <c r="P40" s="3">
        <f t="shared" si="6"/>
        <v>1.4889987452374465E-3</v>
      </c>
      <c r="Q40" s="3">
        <f t="shared" si="6"/>
        <v>1.4412419173399638E-3</v>
      </c>
      <c r="R40" s="4">
        <f t="shared" si="6"/>
        <v>1.3948872354923036E-3</v>
      </c>
    </row>
    <row r="41" spans="8:18" ht="15" customHeight="1" thickBot="1">
      <c r="H41" s="7">
        <v>3</v>
      </c>
      <c r="I41" s="8">
        <f t="shared" si="6"/>
        <v>1.3498980316301035E-3</v>
      </c>
      <c r="J41" s="8">
        <f t="shared" si="6"/>
        <v>1.3062384487694256E-3</v>
      </c>
      <c r="K41" s="8">
        <f t="shared" si="6"/>
        <v>1.2638734276723129E-3</v>
      </c>
      <c r="L41" s="8">
        <f t="shared" si="6"/>
        <v>1.2227686935922799E-3</v>
      </c>
      <c r="M41" s="8">
        <f t="shared" si="6"/>
        <v>1.1828907431044033E-3</v>
      </c>
      <c r="N41" s="8">
        <f t="shared" si="6"/>
        <v>1.1442068310226761E-3</v>
      </c>
      <c r="O41" s="8">
        <f t="shared" si="6"/>
        <v>1.1066849574092874E-3</v>
      </c>
      <c r="P41" s="8">
        <f t="shared" si="6"/>
        <v>1.0702938546789387E-3</v>
      </c>
      <c r="Q41" s="8">
        <f t="shared" si="6"/>
        <v>1.0350029748028566E-3</v>
      </c>
      <c r="R41" s="9">
        <f t="shared" si="6"/>
        <v>1.0007824766140594E-3</v>
      </c>
    </row>
    <row r="42" spans="8:18" ht="15" customHeight="1" thickTop="1"/>
  </sheetData>
  <mergeCells count="1">
    <mergeCell ref="H2:R2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627C9-41E6-4DE0-AFB9-8305F4C18746}">
  <dimension ref="B2:R42"/>
  <sheetViews>
    <sheetView showGridLines="0" zoomScaleNormal="100" workbookViewId="0"/>
  </sheetViews>
  <sheetFormatPr baseColWidth="10" defaultColWidth="8.6640625" defaultRowHeight="15" customHeight="1"/>
  <cols>
    <col min="1" max="2" width="8.6640625" style="1"/>
    <col min="3" max="3" width="3.1640625" style="1" bestFit="1" customWidth="1"/>
    <col min="4" max="4" width="19.1640625" style="1" bestFit="1" customWidth="1"/>
    <col min="5" max="5" width="18.1640625" style="1" bestFit="1" customWidth="1"/>
    <col min="6" max="6" width="8.6640625" style="1"/>
    <col min="7" max="7" width="3.5" style="1" customWidth="1"/>
    <col min="8" max="18" width="8.6640625" style="1"/>
    <col min="19" max="19" width="3.5" style="1" customWidth="1"/>
    <col min="20" max="16384" width="8.6640625" style="1"/>
  </cols>
  <sheetData>
    <row r="2" spans="2:18" ht="15" customHeight="1">
      <c r="H2" s="92" t="s">
        <v>1</v>
      </c>
      <c r="I2" s="92"/>
      <c r="J2" s="92"/>
      <c r="K2" s="92"/>
      <c r="L2" s="92"/>
      <c r="M2" s="92"/>
      <c r="N2" s="92"/>
      <c r="O2" s="92"/>
      <c r="P2" s="92"/>
      <c r="Q2" s="92"/>
      <c r="R2" s="92"/>
    </row>
    <row r="3" spans="2:18" ht="15" customHeight="1" thickBot="1">
      <c r="B3" s="1" t="s">
        <v>45</v>
      </c>
    </row>
    <row r="4" spans="2:18" ht="15" customHeight="1" thickTop="1">
      <c r="C4" s="79" t="s">
        <v>46</v>
      </c>
      <c r="D4" s="80" t="s">
        <v>54</v>
      </c>
      <c r="E4" s="85"/>
      <c r="H4" s="10" t="s">
        <v>0</v>
      </c>
      <c r="I4" s="11">
        <v>0</v>
      </c>
      <c r="J4" s="11">
        <v>0.01</v>
      </c>
      <c r="K4" s="11">
        <v>0.02</v>
      </c>
      <c r="L4" s="11">
        <v>0.03</v>
      </c>
      <c r="M4" s="11">
        <v>0.04</v>
      </c>
      <c r="N4" s="11">
        <v>0.05</v>
      </c>
      <c r="O4" s="11">
        <v>0.06</v>
      </c>
      <c r="P4" s="11">
        <v>7.0000000000000007E-2</v>
      </c>
      <c r="Q4" s="11">
        <v>0.08</v>
      </c>
      <c r="R4" s="12">
        <v>0.09</v>
      </c>
    </row>
    <row r="5" spans="2:18" ht="15" customHeight="1">
      <c r="C5" s="81" t="s">
        <v>47</v>
      </c>
      <c r="D5" s="82" t="s">
        <v>55</v>
      </c>
      <c r="E5" s="86"/>
      <c r="H5" s="2">
        <v>0</v>
      </c>
      <c r="I5" s="3">
        <f t="shared" ref="I5:R5" si="0">1-_xlfn.NORM.DIST($H5+I$4,0,1,TRUE)</f>
        <v>0.5</v>
      </c>
      <c r="J5" s="3">
        <f t="shared" si="0"/>
        <v>0.4960106436853684</v>
      </c>
      <c r="K5" s="3">
        <f t="shared" si="0"/>
        <v>0.49202168628309795</v>
      </c>
      <c r="L5" s="3">
        <f t="shared" si="0"/>
        <v>0.48803352658588728</v>
      </c>
      <c r="M5" s="3">
        <f t="shared" si="0"/>
        <v>0.48404656314716932</v>
      </c>
      <c r="N5" s="3">
        <f t="shared" si="0"/>
        <v>0.48006119416162751</v>
      </c>
      <c r="O5" s="3">
        <f t="shared" si="0"/>
        <v>0.47607781734589316</v>
      </c>
      <c r="P5" s="3">
        <f t="shared" si="0"/>
        <v>0.47209682981947887</v>
      </c>
      <c r="Q5" s="3">
        <f t="shared" si="0"/>
        <v>0.46811862798601256</v>
      </c>
      <c r="R5" s="4">
        <f t="shared" si="0"/>
        <v>0.46414360741482796</v>
      </c>
    </row>
    <row r="6" spans="2:18" ht="15" customHeight="1">
      <c r="C6" s="81" t="s">
        <v>48</v>
      </c>
      <c r="D6" s="82" t="s">
        <v>56</v>
      </c>
      <c r="E6" s="86"/>
      <c r="H6" s="2"/>
      <c r="I6" s="5"/>
      <c r="J6" s="5"/>
      <c r="K6" s="5"/>
      <c r="L6" s="5"/>
      <c r="M6" s="5"/>
      <c r="N6" s="5"/>
      <c r="O6" s="5"/>
      <c r="P6" s="5"/>
      <c r="Q6" s="5"/>
      <c r="R6" s="6"/>
    </row>
    <row r="7" spans="2:18" ht="15" customHeight="1">
      <c r="C7" s="81" t="s">
        <v>49</v>
      </c>
      <c r="D7" s="82" t="s">
        <v>57</v>
      </c>
      <c r="E7" s="86"/>
      <c r="H7" s="2">
        <v>0.1</v>
      </c>
      <c r="I7" s="3">
        <f t="shared" ref="I7:R11" si="1">1-_xlfn.NORM.DIST($H7+I$4,0,1,TRUE)</f>
        <v>0.46017216272297101</v>
      </c>
      <c r="J7" s="3">
        <f t="shared" si="1"/>
        <v>0.45620468745768328</v>
      </c>
      <c r="K7" s="3">
        <f t="shared" si="1"/>
        <v>0.45224157397941611</v>
      </c>
      <c r="L7" s="3">
        <f t="shared" si="1"/>
        <v>0.44828321334543886</v>
      </c>
      <c r="M7" s="3">
        <f t="shared" si="1"/>
        <v>0.44432999519409355</v>
      </c>
      <c r="N7" s="3">
        <f t="shared" si="1"/>
        <v>0.4403823076297575</v>
      </c>
      <c r="O7" s="3">
        <f t="shared" si="1"/>
        <v>0.43644053710856712</v>
      </c>
      <c r="P7" s="3">
        <f t="shared" si="1"/>
        <v>0.43250506832496161</v>
      </c>
      <c r="Q7" s="3">
        <f t="shared" si="1"/>
        <v>0.4285762840990992</v>
      </c>
      <c r="R7" s="4">
        <f t="shared" si="1"/>
        <v>0.42465456526520451</v>
      </c>
    </row>
    <row r="8" spans="2:18" ht="15" customHeight="1">
      <c r="C8" s="81" t="s">
        <v>50</v>
      </c>
      <c r="D8" s="82" t="s">
        <v>58</v>
      </c>
      <c r="E8" s="86"/>
      <c r="H8" s="2">
        <v>0.2</v>
      </c>
      <c r="I8" s="3">
        <f t="shared" si="1"/>
        <v>0.42074029056089701</v>
      </c>
      <c r="J8" s="3">
        <f t="shared" si="1"/>
        <v>0.41683383651755768</v>
      </c>
      <c r="K8" s="3">
        <f t="shared" si="1"/>
        <v>0.41293557735178532</v>
      </c>
      <c r="L8" s="3">
        <f t="shared" si="1"/>
        <v>0.40904588485799409</v>
      </c>
      <c r="M8" s="3">
        <f t="shared" si="1"/>
        <v>0.40516512830220419</v>
      </c>
      <c r="N8" s="3">
        <f t="shared" si="1"/>
        <v>0.4012936743170763</v>
      </c>
      <c r="O8" s="3">
        <f t="shared" si="1"/>
        <v>0.39743188679823949</v>
      </c>
      <c r="P8" s="3">
        <f t="shared" si="1"/>
        <v>0.39358012680196053</v>
      </c>
      <c r="Q8" s="3">
        <f t="shared" si="1"/>
        <v>0.38973875244420275</v>
      </c>
      <c r="R8" s="4">
        <f t="shared" si="1"/>
        <v>0.38590811880112263</v>
      </c>
    </row>
    <row r="9" spans="2:18" ht="15" customHeight="1">
      <c r="C9" s="81" t="s">
        <v>51</v>
      </c>
      <c r="D9" s="82" t="s">
        <v>59</v>
      </c>
      <c r="E9" s="86"/>
      <c r="H9" s="2">
        <v>0.3</v>
      </c>
      <c r="I9" s="3">
        <f t="shared" si="1"/>
        <v>0.38208857781104733</v>
      </c>
      <c r="J9" s="3">
        <f t="shared" si="1"/>
        <v>0.37828047817798072</v>
      </c>
      <c r="K9" s="3">
        <f t="shared" si="1"/>
        <v>0.37448416527667994</v>
      </c>
      <c r="L9" s="3">
        <f t="shared" si="1"/>
        <v>0.37069998105934654</v>
      </c>
      <c r="M9" s="3">
        <f t="shared" si="1"/>
        <v>0.36692826396397193</v>
      </c>
      <c r="N9" s="3">
        <f t="shared" si="1"/>
        <v>0.3631693488243809</v>
      </c>
      <c r="O9" s="3">
        <f t="shared" si="1"/>
        <v>0.35942356678200871</v>
      </c>
      <c r="P9" s="3">
        <f t="shared" si="1"/>
        <v>0.35569124519945317</v>
      </c>
      <c r="Q9" s="3">
        <f t="shared" si="1"/>
        <v>0.35197270757583721</v>
      </c>
      <c r="R9" s="4">
        <f t="shared" si="1"/>
        <v>0.34826827346401756</v>
      </c>
    </row>
    <row r="10" spans="2:18" ht="15" customHeight="1">
      <c r="C10" s="81" t="s">
        <v>52</v>
      </c>
      <c r="D10" s="82" t="s">
        <v>60</v>
      </c>
      <c r="E10" s="86"/>
      <c r="H10" s="2">
        <v>0.4</v>
      </c>
      <c r="I10" s="3">
        <f t="shared" si="1"/>
        <v>0.34457825838967571</v>
      </c>
      <c r="J10" s="3">
        <f t="shared" si="1"/>
        <v>0.34090297377232259</v>
      </c>
      <c r="K10" s="3">
        <f t="shared" si="1"/>
        <v>0.33724272684824941</v>
      </c>
      <c r="L10" s="3">
        <f t="shared" si="1"/>
        <v>0.33359782059545762</v>
      </c>
      <c r="M10" s="3">
        <f t="shared" si="1"/>
        <v>0.32996855366059363</v>
      </c>
      <c r="N10" s="3">
        <f t="shared" si="1"/>
        <v>0.32635522028791997</v>
      </c>
      <c r="O10" s="3">
        <f t="shared" si="1"/>
        <v>0.32275811025034773</v>
      </c>
      <c r="P10" s="3">
        <f t="shared" si="1"/>
        <v>0.3191775087825558</v>
      </c>
      <c r="Q10" s="3">
        <f t="shared" si="1"/>
        <v>0.31561369651622251</v>
      </c>
      <c r="R10" s="4">
        <f t="shared" si="1"/>
        <v>0.31206694941739055</v>
      </c>
    </row>
    <row r="11" spans="2:18" ht="15" customHeight="1" thickBot="1">
      <c r="C11" s="83" t="s">
        <v>53</v>
      </c>
      <c r="D11" s="84" t="s">
        <v>61</v>
      </c>
      <c r="E11" s="87"/>
      <c r="H11" s="2">
        <v>0.5</v>
      </c>
      <c r="I11" s="3">
        <f t="shared" si="1"/>
        <v>0.30853753872598688</v>
      </c>
      <c r="J11" s="3">
        <f t="shared" si="1"/>
        <v>0.30502573089751939</v>
      </c>
      <c r="K11" s="3">
        <f t="shared" si="1"/>
        <v>0.30153178754696619</v>
      </c>
      <c r="L11" s="3">
        <f t="shared" si="1"/>
        <v>0.29805596539487644</v>
      </c>
      <c r="M11" s="3">
        <f t="shared" si="1"/>
        <v>0.29459851621569799</v>
      </c>
      <c r="N11" s="3">
        <f t="shared" si="1"/>
        <v>0.29115968678834636</v>
      </c>
      <c r="O11" s="3">
        <f t="shared" si="1"/>
        <v>0.28773971884902705</v>
      </c>
      <c r="P11" s="3">
        <f t="shared" si="1"/>
        <v>0.28433884904632412</v>
      </c>
      <c r="Q11" s="3">
        <f t="shared" si="1"/>
        <v>0.2809573088985643</v>
      </c>
      <c r="R11" s="4">
        <f t="shared" si="1"/>
        <v>0.27759532475346493</v>
      </c>
    </row>
    <row r="12" spans="2:18" ht="15" customHeight="1" thickTop="1">
      <c r="H12" s="2"/>
      <c r="I12" s="5"/>
      <c r="J12" s="5"/>
      <c r="K12" s="5"/>
      <c r="L12" s="5"/>
      <c r="M12" s="5"/>
      <c r="N12" s="5"/>
      <c r="O12" s="5"/>
      <c r="P12" s="5"/>
      <c r="Q12" s="5"/>
      <c r="R12" s="6"/>
    </row>
    <row r="13" spans="2:18" ht="15" customHeight="1">
      <c r="H13" s="2">
        <v>0.6</v>
      </c>
      <c r="I13" s="3">
        <f t="shared" ref="I13:R17" si="2">1-_xlfn.NORM.DIST($H13+I$4,0,1,TRUE)</f>
        <v>0.27425311775007355</v>
      </c>
      <c r="J13" s="3">
        <f t="shared" si="2"/>
        <v>0.27093090378300566</v>
      </c>
      <c r="K13" s="3">
        <f t="shared" si="2"/>
        <v>0.267628893468983</v>
      </c>
      <c r="L13" s="3">
        <f t="shared" si="2"/>
        <v>0.26434729211567753</v>
      </c>
      <c r="M13" s="3">
        <f t="shared" si="2"/>
        <v>0.26108629969286157</v>
      </c>
      <c r="N13" s="3">
        <f t="shared" si="2"/>
        <v>0.25784611080586473</v>
      </c>
      <c r="O13" s="3">
        <f t="shared" si="2"/>
        <v>0.25462691467133614</v>
      </c>
      <c r="P13" s="3">
        <f t="shared" si="2"/>
        <v>0.25142889509531008</v>
      </c>
      <c r="Q13" s="3">
        <f t="shared" si="2"/>
        <v>0.24825223045357048</v>
      </c>
      <c r="R13" s="4">
        <f t="shared" si="2"/>
        <v>0.24509709367430943</v>
      </c>
    </row>
    <row r="14" spans="2:18" ht="15" customHeight="1">
      <c r="H14" s="2">
        <v>0.7</v>
      </c>
      <c r="I14" s="3">
        <f t="shared" si="2"/>
        <v>0.24196365222307303</v>
      </c>
      <c r="J14" s="3">
        <f t="shared" si="2"/>
        <v>0.23885206808998671</v>
      </c>
      <c r="K14" s="3">
        <f t="shared" si="2"/>
        <v>0.23576249777925118</v>
      </c>
      <c r="L14" s="3">
        <f t="shared" si="2"/>
        <v>0.23269509230089747</v>
      </c>
      <c r="M14" s="3">
        <f t="shared" si="2"/>
        <v>0.22964999716479062</v>
      </c>
      <c r="N14" s="3">
        <f t="shared" si="2"/>
        <v>0.22662735237686826</v>
      </c>
      <c r="O14" s="3">
        <f t="shared" si="2"/>
        <v>0.22362729243759938</v>
      </c>
      <c r="P14" s="3">
        <f t="shared" si="2"/>
        <v>0.22064994634264956</v>
      </c>
      <c r="Q14" s="3">
        <f t="shared" si="2"/>
        <v>0.21769543758573318</v>
      </c>
      <c r="R14" s="4">
        <f t="shared" si="2"/>
        <v>0.21476388416363723</v>
      </c>
    </row>
    <row r="15" spans="2:18" ht="15" customHeight="1">
      <c r="H15" s="2">
        <v>0.8</v>
      </c>
      <c r="I15" s="3">
        <f t="shared" si="2"/>
        <v>0.21185539858339664</v>
      </c>
      <c r="J15" s="3">
        <f t="shared" si="2"/>
        <v>0.20897008787160165</v>
      </c>
      <c r="K15" s="3">
        <f t="shared" si="2"/>
        <v>0.20610805358581308</v>
      </c>
      <c r="L15" s="3">
        <f t="shared" si="2"/>
        <v>0.20326939182806836</v>
      </c>
      <c r="M15" s="3">
        <f t="shared" si="2"/>
        <v>0.20045419326044966</v>
      </c>
      <c r="N15" s="3">
        <f t="shared" si="2"/>
        <v>0.19766254312269238</v>
      </c>
      <c r="O15" s="3">
        <f t="shared" si="2"/>
        <v>0.19489452125180828</v>
      </c>
      <c r="P15" s="3">
        <f t="shared" si="2"/>
        <v>0.19215020210369615</v>
      </c>
      <c r="Q15" s="3">
        <f t="shared" si="2"/>
        <v>0.18942965477671214</v>
      </c>
      <c r="R15" s="4">
        <f t="shared" si="2"/>
        <v>0.18673294303717258</v>
      </c>
    </row>
    <row r="16" spans="2:18" ht="15" customHeight="1">
      <c r="H16" s="2">
        <v>0.9</v>
      </c>
      <c r="I16" s="3">
        <f t="shared" si="2"/>
        <v>0.18406012534675953</v>
      </c>
      <c r="J16" s="3">
        <f t="shared" si="2"/>
        <v>0.18141125489179721</v>
      </c>
      <c r="K16" s="3">
        <f t="shared" si="2"/>
        <v>0.17878637961437172</v>
      </c>
      <c r="L16" s="3">
        <f t="shared" si="2"/>
        <v>0.17618554224525784</v>
      </c>
      <c r="M16" s="3">
        <f t="shared" si="2"/>
        <v>0.17360878033862448</v>
      </c>
      <c r="N16" s="3">
        <f t="shared" si="2"/>
        <v>0.17105612630848177</v>
      </c>
      <c r="O16" s="3">
        <f t="shared" si="2"/>
        <v>0.16852760746683781</v>
      </c>
      <c r="P16" s="3">
        <f t="shared" si="2"/>
        <v>0.16602324606352958</v>
      </c>
      <c r="Q16" s="3">
        <f t="shared" si="2"/>
        <v>0.16354305932769231</v>
      </c>
      <c r="R16" s="4">
        <f t="shared" si="2"/>
        <v>0.16108705951083091</v>
      </c>
    </row>
    <row r="17" spans="8:18" ht="15" customHeight="1">
      <c r="H17" s="2">
        <v>1</v>
      </c>
      <c r="I17" s="3">
        <f t="shared" si="2"/>
        <v>0.15865525393145696</v>
      </c>
      <c r="J17" s="3">
        <f t="shared" si="2"/>
        <v>0.15624764502125454</v>
      </c>
      <c r="K17" s="3">
        <f t="shared" si="2"/>
        <v>0.15386423037273489</v>
      </c>
      <c r="L17" s="3">
        <f t="shared" si="2"/>
        <v>0.15150500278834367</v>
      </c>
      <c r="M17" s="3">
        <f t="shared" si="2"/>
        <v>0.14916995033098135</v>
      </c>
      <c r="N17" s="3">
        <f t="shared" si="2"/>
        <v>0.14685905637589591</v>
      </c>
      <c r="O17" s="3">
        <f t="shared" si="2"/>
        <v>0.14457229966390961</v>
      </c>
      <c r="P17" s="3">
        <f t="shared" si="2"/>
        <v>0.14230965435593923</v>
      </c>
      <c r="Q17" s="3">
        <f t="shared" si="2"/>
        <v>0.14007109008876906</v>
      </c>
      <c r="R17" s="4">
        <f t="shared" si="2"/>
        <v>0.1378565720320355</v>
      </c>
    </row>
    <row r="18" spans="8:18" ht="15" customHeight="1">
      <c r="H18" s="2"/>
      <c r="I18" s="5"/>
      <c r="J18" s="5"/>
      <c r="K18" s="5"/>
      <c r="L18" s="5"/>
      <c r="M18" s="5"/>
      <c r="N18" s="5"/>
      <c r="O18" s="5"/>
      <c r="P18" s="5"/>
      <c r="Q18" s="5"/>
      <c r="R18" s="6"/>
    </row>
    <row r="19" spans="8:18" ht="15" customHeight="1">
      <c r="H19" s="2">
        <v>1.1000000000000001</v>
      </c>
      <c r="I19" s="3">
        <f t="shared" ref="I19:R23" si="3">1-_xlfn.NORM.DIST($H19+I$4,0,1,TRUE)</f>
        <v>0.13566606094638267</v>
      </c>
      <c r="J19" s="3">
        <f t="shared" si="3"/>
        <v>0.13349951324274723</v>
      </c>
      <c r="K19" s="3">
        <f t="shared" si="3"/>
        <v>0.13135688104273069</v>
      </c>
      <c r="L19" s="3">
        <f t="shared" si="3"/>
        <v>0.1292381122400178</v>
      </c>
      <c r="M19" s="3">
        <f t="shared" si="3"/>
        <v>0.12714315056279824</v>
      </c>
      <c r="N19" s="3">
        <f t="shared" si="3"/>
        <v>0.12507193563715013</v>
      </c>
      <c r="O19" s="3">
        <f t="shared" si="3"/>
        <v>0.12302440305134332</v>
      </c>
      <c r="P19" s="3">
        <f t="shared" si="3"/>
        <v>0.12100048442101818</v>
      </c>
      <c r="Q19" s="3">
        <f t="shared" si="3"/>
        <v>0.11900010745520062</v>
      </c>
      <c r="R19" s="4">
        <f t="shared" si="3"/>
        <v>0.11702319602310873</v>
      </c>
    </row>
    <row r="20" spans="8:18" ht="15" customHeight="1">
      <c r="H20" s="2">
        <v>1.2</v>
      </c>
      <c r="I20" s="3">
        <f t="shared" si="3"/>
        <v>0.11506967022170822</v>
      </c>
      <c r="J20" s="3">
        <f t="shared" si="3"/>
        <v>0.11313944644397722</v>
      </c>
      <c r="K20" s="3">
        <f t="shared" si="3"/>
        <v>0.11123243744783462</v>
      </c>
      <c r="L20" s="3">
        <f t="shared" si="3"/>
        <v>0.10934855242569186</v>
      </c>
      <c r="M20" s="3">
        <f t="shared" si="3"/>
        <v>0.10748769707458694</v>
      </c>
      <c r="N20" s="3">
        <f t="shared" si="3"/>
        <v>0.10564977366685524</v>
      </c>
      <c r="O20" s="3">
        <f t="shared" si="3"/>
        <v>0.10383468112130034</v>
      </c>
      <c r="P20" s="3">
        <f t="shared" si="3"/>
        <v>0.10204231507481909</v>
      </c>
      <c r="Q20" s="3">
        <f t="shared" si="3"/>
        <v>0.10027256795444206</v>
      </c>
      <c r="R20" s="4">
        <f t="shared" si="3"/>
        <v>9.8525329049747867E-2</v>
      </c>
    </row>
    <row r="21" spans="8:18" ht="15" customHeight="1">
      <c r="H21" s="2">
        <v>1.3</v>
      </c>
      <c r="I21" s="3">
        <f t="shared" si="3"/>
        <v>9.6800484585610302E-2</v>
      </c>
      <c r="J21" s="3">
        <f t="shared" si="3"/>
        <v>9.5097917795239018E-2</v>
      </c>
      <c r="K21" s="3">
        <f t="shared" si="3"/>
        <v>9.3417508993471787E-2</v>
      </c>
      <c r="L21" s="3">
        <f t="shared" si="3"/>
        <v>9.1759135650280821E-2</v>
      </c>
      <c r="M21" s="3">
        <f t="shared" si="3"/>
        <v>9.0122672464452491E-2</v>
      </c>
      <c r="N21" s="3">
        <f t="shared" si="3"/>
        <v>8.8507991437401956E-2</v>
      </c>
      <c r="O21" s="3">
        <f t="shared" si="3"/>
        <v>8.6914961947085034E-2</v>
      </c>
      <c r="P21" s="3">
        <f t="shared" si="3"/>
        <v>8.5343450821966926E-2</v>
      </c>
      <c r="Q21" s="3">
        <f t="shared" si="3"/>
        <v>8.3793322415014249E-2</v>
      </c>
      <c r="R21" s="4">
        <f t="shared" si="3"/>
        <v>8.2264438677668861E-2</v>
      </c>
    </row>
    <row r="22" spans="8:18" ht="15" customHeight="1">
      <c r="H22" s="2">
        <v>1.4</v>
      </c>
      <c r="I22" s="3">
        <f t="shared" si="3"/>
        <v>8.0756659233771066E-2</v>
      </c>
      <c r="J22" s="3">
        <f t="shared" si="3"/>
        <v>7.9269841453392442E-2</v>
      </c>
      <c r="K22" s="3">
        <f t="shared" si="3"/>
        <v>7.780384052654632E-2</v>
      </c>
      <c r="L22" s="3">
        <f t="shared" si="3"/>
        <v>7.6358509536739172E-2</v>
      </c>
      <c r="M22" s="3">
        <f t="shared" si="3"/>
        <v>7.4933699534327047E-2</v>
      </c>
      <c r="N22" s="3">
        <f t="shared" si="3"/>
        <v>7.3529259609648401E-2</v>
      </c>
      <c r="O22" s="3">
        <f t="shared" si="3"/>
        <v>7.2145036965893805E-2</v>
      </c>
      <c r="P22" s="3">
        <f t="shared" si="3"/>
        <v>7.078087699168556E-2</v>
      </c>
      <c r="Q22" s="3">
        <f t="shared" si="3"/>
        <v>6.9436623333331671E-2</v>
      </c>
      <c r="R22" s="4">
        <f t="shared" si="3"/>
        <v>6.8112117966725449E-2</v>
      </c>
    </row>
    <row r="23" spans="8:18" ht="15" customHeight="1">
      <c r="H23" s="2">
        <v>1.5</v>
      </c>
      <c r="I23" s="3">
        <f t="shared" si="3"/>
        <v>6.6807201268858085E-2</v>
      </c>
      <c r="J23" s="3">
        <f t="shared" si="3"/>
        <v>6.5521712088916439E-2</v>
      </c>
      <c r="K23" s="3">
        <f t="shared" si="3"/>
        <v>6.4255487818935753E-2</v>
      </c>
      <c r="L23" s="3">
        <f t="shared" si="3"/>
        <v>6.3008364463978395E-2</v>
      </c>
      <c r="M23" s="3">
        <f t="shared" si="3"/>
        <v>6.1780176711811907E-2</v>
      </c>
      <c r="N23" s="3">
        <f t="shared" si="3"/>
        <v>6.0570758002059022E-2</v>
      </c>
      <c r="O23" s="3">
        <f t="shared" si="3"/>
        <v>5.9379940594793013E-2</v>
      </c>
      <c r="P23" s="3">
        <f t="shared" si="3"/>
        <v>5.8207555638553066E-2</v>
      </c>
      <c r="Q23" s="3">
        <f t="shared" si="3"/>
        <v>5.7053433237754136E-2</v>
      </c>
      <c r="R23" s="4">
        <f t="shared" si="3"/>
        <v>5.5917402519469417E-2</v>
      </c>
    </row>
    <row r="24" spans="8:18" ht="15" customHeight="1">
      <c r="H24" s="2"/>
      <c r="I24" s="5"/>
      <c r="J24" s="5"/>
      <c r="K24" s="5"/>
      <c r="L24" s="5"/>
      <c r="M24" s="5"/>
      <c r="N24" s="5"/>
      <c r="O24" s="5"/>
      <c r="P24" s="5"/>
      <c r="Q24" s="5"/>
      <c r="R24" s="6"/>
    </row>
    <row r="25" spans="8:18" ht="15" customHeight="1">
      <c r="H25" s="2">
        <v>1.6</v>
      </c>
      <c r="I25" s="3">
        <f t="shared" ref="I25:R29" si="4">1-_xlfn.NORM.DIST($H25+I$4,0,1,TRUE)</f>
        <v>5.4799291699557995E-2</v>
      </c>
      <c r="J25" s="3">
        <f t="shared" si="4"/>
        <v>5.3698928148119718E-2</v>
      </c>
      <c r="K25" s="3">
        <f t="shared" si="4"/>
        <v>5.2616138454252059E-2</v>
      </c>
      <c r="L25" s="3">
        <f t="shared" si="4"/>
        <v>5.1550748490089338E-2</v>
      </c>
      <c r="M25" s="3">
        <f t="shared" si="4"/>
        <v>5.0502583474103746E-2</v>
      </c>
      <c r="N25" s="3">
        <f t="shared" si="4"/>
        <v>4.9471468033648103E-2</v>
      </c>
      <c r="O25" s="3">
        <f t="shared" si="4"/>
        <v>4.8457226266722775E-2</v>
      </c>
      <c r="P25" s="3">
        <f t="shared" si="4"/>
        <v>4.7459681802947351E-2</v>
      </c>
      <c r="Q25" s="3">
        <f t="shared" si="4"/>
        <v>4.6478657863719963E-2</v>
      </c>
      <c r="R25" s="4">
        <f t="shared" si="4"/>
        <v>4.5513977321549826E-2</v>
      </c>
    </row>
    <row r="26" spans="8:18" ht="15" customHeight="1">
      <c r="H26" s="2">
        <v>1.7</v>
      </c>
      <c r="I26" s="3">
        <f t="shared" si="4"/>
        <v>4.4565462758543006E-2</v>
      </c>
      <c r="J26" s="3">
        <f t="shared" si="4"/>
        <v>4.3632936524031884E-2</v>
      </c>
      <c r="K26" s="3">
        <f t="shared" si="4"/>
        <v>4.2716220791328863E-2</v>
      </c>
      <c r="L26" s="3">
        <f t="shared" si="4"/>
        <v>4.1815137613594899E-2</v>
      </c>
      <c r="M26" s="3">
        <f t="shared" si="4"/>
        <v>4.0929508978807316E-2</v>
      </c>
      <c r="N26" s="3">
        <f t="shared" si="4"/>
        <v>4.0059156863817114E-2</v>
      </c>
      <c r="O26" s="3">
        <f t="shared" si="4"/>
        <v>3.9203903287482689E-2</v>
      </c>
      <c r="P26" s="3">
        <f t="shared" si="4"/>
        <v>3.8363570362871191E-2</v>
      </c>
      <c r="Q26" s="3">
        <f t="shared" si="4"/>
        <v>3.7537980348516742E-2</v>
      </c>
      <c r="R26" s="4">
        <f t="shared" si="4"/>
        <v>3.6726955698726305E-2</v>
      </c>
    </row>
    <row r="27" spans="8:18" ht="15" customHeight="1">
      <c r="H27" s="2">
        <v>1.8</v>
      </c>
      <c r="I27" s="3">
        <f t="shared" si="4"/>
        <v>3.5930319112925768E-2</v>
      </c>
      <c r="J27" s="3">
        <f t="shared" si="4"/>
        <v>3.5147893584038803E-2</v>
      </c>
      <c r="K27" s="3">
        <f t="shared" si="4"/>
        <v>3.4379502445889942E-2</v>
      </c>
      <c r="L27" s="3">
        <f t="shared" si="4"/>
        <v>3.3624969419628337E-2</v>
      </c>
      <c r="M27" s="3">
        <f t="shared" si="4"/>
        <v>3.2884118659163852E-2</v>
      </c>
      <c r="N27" s="3">
        <f t="shared" si="4"/>
        <v>3.2156774795613741E-2</v>
      </c>
      <c r="O27" s="3">
        <f t="shared" si="4"/>
        <v>3.1442762980752659E-2</v>
      </c>
      <c r="P27" s="3">
        <f t="shared" si="4"/>
        <v>3.0741908929465933E-2</v>
      </c>
      <c r="Q27" s="3">
        <f t="shared" si="4"/>
        <v>3.0054038961199736E-2</v>
      </c>
      <c r="R27" s="4">
        <f t="shared" si="4"/>
        <v>2.9378980040409397E-2</v>
      </c>
    </row>
    <row r="28" spans="8:18" ht="15" customHeight="1">
      <c r="H28" s="2">
        <v>1.9</v>
      </c>
      <c r="I28" s="3">
        <f t="shared" si="4"/>
        <v>2.8716559816001852E-2</v>
      </c>
      <c r="J28" s="3">
        <f t="shared" si="4"/>
        <v>2.8066606659772564E-2</v>
      </c>
      <c r="K28" s="3">
        <f t="shared" si="4"/>
        <v>2.7428949703836802E-2</v>
      </c>
      <c r="L28" s="3">
        <f t="shared" si="4"/>
        <v>2.6803418877054952E-2</v>
      </c>
      <c r="M28" s="3">
        <f t="shared" si="4"/>
        <v>2.6189844940452733E-2</v>
      </c>
      <c r="N28" s="3">
        <f t="shared" si="4"/>
        <v>2.5588059521638562E-2</v>
      </c>
      <c r="O28" s="3">
        <f t="shared" si="4"/>
        <v>2.4997895148220484E-2</v>
      </c>
      <c r="P28" s="3">
        <f t="shared" si="4"/>
        <v>2.4419185280222577E-2</v>
      </c>
      <c r="Q28" s="3">
        <f t="shared" si="4"/>
        <v>2.3851764341508486E-2</v>
      </c>
      <c r="R28" s="4">
        <f t="shared" si="4"/>
        <v>2.3295467750211851E-2</v>
      </c>
    </row>
    <row r="29" spans="8:18" ht="15" customHeight="1">
      <c r="H29" s="2">
        <v>2</v>
      </c>
      <c r="I29" s="3">
        <f t="shared" si="4"/>
        <v>2.2750131948179209E-2</v>
      </c>
      <c r="J29" s="3">
        <f t="shared" si="4"/>
        <v>2.221559442943144E-2</v>
      </c>
      <c r="K29" s="3">
        <f t="shared" si="4"/>
        <v>2.1691693767646791E-2</v>
      </c>
      <c r="L29" s="3">
        <f t="shared" si="4"/>
        <v>2.1178269642672221E-2</v>
      </c>
      <c r="M29" s="3">
        <f t="shared" si="4"/>
        <v>2.0675162866070074E-2</v>
      </c>
      <c r="N29" s="3">
        <f t="shared" si="4"/>
        <v>2.0182215405704418E-2</v>
      </c>
      <c r="O29" s="3">
        <f t="shared" si="4"/>
        <v>1.9699270409376912E-2</v>
      </c>
      <c r="P29" s="3">
        <f t="shared" si="4"/>
        <v>1.9226172227517324E-2</v>
      </c>
      <c r="Q29" s="3">
        <f t="shared" si="4"/>
        <v>1.8762766434937794E-2</v>
      </c>
      <c r="R29" s="4">
        <f t="shared" si="4"/>
        <v>1.8308899851658955E-2</v>
      </c>
    </row>
    <row r="30" spans="8:18" ht="15" customHeight="1">
      <c r="H30" s="2"/>
      <c r="I30" s="5"/>
      <c r="J30" s="5"/>
      <c r="K30" s="5"/>
      <c r="L30" s="5"/>
      <c r="M30" s="5"/>
      <c r="N30" s="5"/>
      <c r="O30" s="5"/>
      <c r="P30" s="5"/>
      <c r="Q30" s="5"/>
      <c r="R30" s="6"/>
    </row>
    <row r="31" spans="8:18" ht="15" customHeight="1">
      <c r="H31" s="2">
        <v>2.1</v>
      </c>
      <c r="I31" s="3">
        <f t="shared" ref="I31:R35" si="5">1-_xlfn.NORM.DIST($H31+I$4,0,1,TRUE)</f>
        <v>1.7864420562816563E-2</v>
      </c>
      <c r="J31" s="3">
        <f t="shared" si="5"/>
        <v>1.7429177937657081E-2</v>
      </c>
      <c r="K31" s="3">
        <f t="shared" si="5"/>
        <v>1.700302264763276E-2</v>
      </c>
      <c r="L31" s="3">
        <f t="shared" si="5"/>
        <v>1.6585806683604987E-2</v>
      </c>
      <c r="M31" s="3">
        <f t="shared" si="5"/>
        <v>1.6177383372166121E-2</v>
      </c>
      <c r="N31" s="3">
        <f t="shared" si="5"/>
        <v>1.5777607391090465E-2</v>
      </c>
      <c r="O31" s="3">
        <f t="shared" si="5"/>
        <v>1.5386334783925482E-2</v>
      </c>
      <c r="P31" s="3">
        <f t="shared" si="5"/>
        <v>1.500342297373225E-2</v>
      </c>
      <c r="Q31" s="3">
        <f t="shared" si="5"/>
        <v>1.4628730775989252E-2</v>
      </c>
      <c r="R31" s="4">
        <f t="shared" si="5"/>
        <v>1.4262118410668823E-2</v>
      </c>
    </row>
    <row r="32" spans="8:18" ht="15" customHeight="1">
      <c r="H32" s="2">
        <v>2.2000000000000002</v>
      </c>
      <c r="I32" s="3">
        <f t="shared" si="5"/>
        <v>1.390344751349859E-2</v>
      </c>
      <c r="J32" s="3">
        <f t="shared" si="5"/>
        <v>1.3552581146419995E-2</v>
      </c>
      <c r="K32" s="3">
        <f t="shared" si="5"/>
        <v>1.3209383807256225E-2</v>
      </c>
      <c r="L32" s="3">
        <f t="shared" si="5"/>
        <v>1.2873721438601993E-2</v>
      </c>
      <c r="M32" s="3">
        <f t="shared" si="5"/>
        <v>1.2545461435946592E-2</v>
      </c>
      <c r="N32" s="3">
        <f t="shared" si="5"/>
        <v>1.2224472655044671E-2</v>
      </c>
      <c r="O32" s="3">
        <f t="shared" si="5"/>
        <v>1.1910625418547038E-2</v>
      </c>
      <c r="P32" s="3">
        <f t="shared" si="5"/>
        <v>1.1603791521903495E-2</v>
      </c>
      <c r="Q32" s="3">
        <f t="shared" si="5"/>
        <v>1.1303844238552796E-2</v>
      </c>
      <c r="R32" s="4">
        <f t="shared" si="5"/>
        <v>1.1010658324411393E-2</v>
      </c>
    </row>
    <row r="33" spans="8:18" ht="15" customHeight="1">
      <c r="H33" s="2">
        <v>2.2999999999999998</v>
      </c>
      <c r="I33" s="3">
        <f t="shared" si="5"/>
        <v>1.0724110021675837E-2</v>
      </c>
      <c r="J33" s="3">
        <f t="shared" si="5"/>
        <v>1.0444077061951051E-2</v>
      </c>
      <c r="K33" s="3">
        <f t="shared" si="5"/>
        <v>1.0170438668719695E-2</v>
      </c>
      <c r="L33" s="3">
        <f t="shared" si="5"/>
        <v>9.9030755591642539E-3</v>
      </c>
      <c r="M33" s="3">
        <f t="shared" si="5"/>
        <v>9.6418699453583168E-3</v>
      </c>
      <c r="N33" s="3">
        <f t="shared" si="5"/>
        <v>9.3867055348385575E-3</v>
      </c>
      <c r="O33" s="3">
        <f t="shared" si="5"/>
        <v>9.1374675305726516E-3</v>
      </c>
      <c r="P33" s="3">
        <f t="shared" si="5"/>
        <v>8.8940426303367737E-3</v>
      </c>
      <c r="Q33" s="3">
        <f t="shared" si="5"/>
        <v>8.6563190255165567E-3</v>
      </c>
      <c r="R33" s="4">
        <f t="shared" si="5"/>
        <v>8.4241863993457233E-3</v>
      </c>
    </row>
    <row r="34" spans="8:18" ht="15" customHeight="1">
      <c r="H34" s="2">
        <v>2.4</v>
      </c>
      <c r="I34" s="3">
        <f t="shared" si="5"/>
        <v>8.1975359245961554E-3</v>
      </c>
      <c r="J34" s="3">
        <f t="shared" si="5"/>
        <v>7.9762602607337252E-3</v>
      </c>
      <c r="K34" s="3">
        <f t="shared" si="5"/>
        <v>7.760253550553653E-3</v>
      </c>
      <c r="L34" s="3">
        <f t="shared" si="5"/>
        <v>7.5494114163091597E-3</v>
      </c>
      <c r="M34" s="3">
        <f t="shared" si="5"/>
        <v>7.3436309553482904E-3</v>
      </c>
      <c r="N34" s="3">
        <f t="shared" si="5"/>
        <v>7.1428107352714543E-3</v>
      </c>
      <c r="O34" s="3">
        <f t="shared" si="5"/>
        <v>6.9468507886243369E-3</v>
      </c>
      <c r="P34" s="3">
        <f t="shared" si="5"/>
        <v>6.7556526071406164E-3</v>
      </c>
      <c r="Q34" s="3">
        <f t="shared" si="5"/>
        <v>6.5691191355468082E-3</v>
      </c>
      <c r="R34" s="4">
        <f t="shared" si="5"/>
        <v>6.3871547649432259E-3</v>
      </c>
    </row>
    <row r="35" spans="8:18" ht="15" customHeight="1">
      <c r="H35" s="2">
        <v>2.5</v>
      </c>
      <c r="I35" s="3">
        <f t="shared" si="5"/>
        <v>6.2096653257761592E-3</v>
      </c>
      <c r="J35" s="3">
        <f t="shared" si="5"/>
        <v>6.0365580804127017E-3</v>
      </c>
      <c r="K35" s="3">
        <f t="shared" si="5"/>
        <v>5.8677417153325528E-3</v>
      </c>
      <c r="L35" s="3">
        <f t="shared" si="5"/>
        <v>5.7031263329506698E-3</v>
      </c>
      <c r="M35" s="3">
        <f t="shared" si="5"/>
        <v>5.5426234430826504E-3</v>
      </c>
      <c r="N35" s="3">
        <f t="shared" si="5"/>
        <v>5.3861459540667234E-3</v>
      </c>
      <c r="O35" s="3">
        <f t="shared" si="5"/>
        <v>5.2336081635557807E-3</v>
      </c>
      <c r="P35" s="3">
        <f t="shared" si="5"/>
        <v>5.0849257489909983E-3</v>
      </c>
      <c r="Q35" s="3">
        <f t="shared" si="5"/>
        <v>4.9400157577705883E-3</v>
      </c>
      <c r="R35" s="4">
        <f t="shared" si="5"/>
        <v>4.7987965971262314E-3</v>
      </c>
    </row>
    <row r="36" spans="8:18" ht="15" customHeight="1">
      <c r="H36" s="2"/>
      <c r="I36" s="5"/>
      <c r="J36" s="5"/>
      <c r="K36" s="5"/>
      <c r="L36" s="5"/>
      <c r="M36" s="5"/>
      <c r="N36" s="5"/>
      <c r="O36" s="5"/>
      <c r="P36" s="5"/>
      <c r="Q36" s="5"/>
      <c r="R36" s="6"/>
    </row>
    <row r="37" spans="8:18" ht="15" customHeight="1">
      <c r="H37" s="2">
        <v>2.6</v>
      </c>
      <c r="I37" s="3">
        <f t="shared" ref="I37:R41" si="6">1-_xlfn.NORM.DIST($H37+I$4,0,1,TRUE)</f>
        <v>4.661188023718732E-3</v>
      </c>
      <c r="J37" s="3">
        <f t="shared" si="6"/>
        <v>4.5271111329673319E-3</v>
      </c>
      <c r="K37" s="3">
        <f t="shared" si="6"/>
        <v>4.3964883481213413E-3</v>
      </c>
      <c r="L37" s="3">
        <f t="shared" si="6"/>
        <v>4.2692434090892961E-3</v>
      </c>
      <c r="M37" s="3">
        <f t="shared" si="6"/>
        <v>4.14530136103608E-3</v>
      </c>
      <c r="N37" s="3">
        <f t="shared" si="6"/>
        <v>4.0245885427583339E-3</v>
      </c>
      <c r="O37" s="3">
        <f t="shared" si="6"/>
        <v>3.907032574852809E-3</v>
      </c>
      <c r="P37" s="3">
        <f t="shared" si="6"/>
        <v>3.7925623476854353E-3</v>
      </c>
      <c r="Q37" s="3">
        <f t="shared" si="6"/>
        <v>3.6811080091749826E-3</v>
      </c>
      <c r="R37" s="4">
        <f t="shared" si="6"/>
        <v>3.5726009523997515E-3</v>
      </c>
    </row>
    <row r="38" spans="8:18" ht="15" customHeight="1">
      <c r="H38" s="2">
        <v>2.7</v>
      </c>
      <c r="I38" s="3">
        <f t="shared" si="6"/>
        <v>3.4669738030406183E-3</v>
      </c>
      <c r="J38" s="3">
        <f t="shared" si="6"/>
        <v>3.3641604066692032E-3</v>
      </c>
      <c r="K38" s="3">
        <f t="shared" si="6"/>
        <v>3.2640958158912659E-3</v>
      </c>
      <c r="L38" s="3">
        <f t="shared" si="6"/>
        <v>3.1667162773577617E-3</v>
      </c>
      <c r="M38" s="3">
        <f t="shared" si="6"/>
        <v>3.0719592186504441E-3</v>
      </c>
      <c r="N38" s="3">
        <f t="shared" si="6"/>
        <v>2.9797632350545555E-3</v>
      </c>
      <c r="O38" s="3">
        <f t="shared" si="6"/>
        <v>2.8900680762261599E-3</v>
      </c>
      <c r="P38" s="3">
        <f t="shared" si="6"/>
        <v>2.8028146327649939E-3</v>
      </c>
      <c r="Q38" s="3">
        <f t="shared" si="6"/>
        <v>2.7179449227012764E-3</v>
      </c>
      <c r="R38" s="4">
        <f t="shared" si="6"/>
        <v>2.6354020779049137E-3</v>
      </c>
    </row>
    <row r="39" spans="8:18" ht="15" customHeight="1">
      <c r="H39" s="2">
        <v>2.8</v>
      </c>
      <c r="I39" s="3">
        <f t="shared" si="6"/>
        <v>2.5551303304279793E-3</v>
      </c>
      <c r="J39" s="3">
        <f t="shared" si="6"/>
        <v>2.4770749987859109E-3</v>
      </c>
      <c r="K39" s="3">
        <f t="shared" si="6"/>
        <v>2.4011824741893006E-3</v>
      </c>
      <c r="L39" s="3">
        <f t="shared" si="6"/>
        <v>2.3274002067315003E-3</v>
      </c>
      <c r="M39" s="3">
        <f t="shared" si="6"/>
        <v>2.2556766915423632E-3</v>
      </c>
      <c r="N39" s="3">
        <f t="shared" si="6"/>
        <v>2.1859614549132322E-3</v>
      </c>
      <c r="O39" s="3">
        <f t="shared" si="6"/>
        <v>2.1182050404046082E-3</v>
      </c>
      <c r="P39" s="3">
        <f t="shared" si="6"/>
        <v>2.0523589949397181E-3</v>
      </c>
      <c r="Q39" s="3">
        <f t="shared" si="6"/>
        <v>1.9883758548943087E-3</v>
      </c>
      <c r="R39" s="4">
        <f t="shared" si="6"/>
        <v>1.9262091321878838E-3</v>
      </c>
    </row>
    <row r="40" spans="8:18" ht="15" customHeight="1">
      <c r="H40" s="2">
        <v>2.9</v>
      </c>
      <c r="I40" s="3">
        <f t="shared" si="6"/>
        <v>1.8658133003840449E-3</v>
      </c>
      <c r="J40" s="3">
        <f t="shared" si="6"/>
        <v>1.8071437808064861E-3</v>
      </c>
      <c r="K40" s="3">
        <f t="shared" si="6"/>
        <v>1.7501569286760832E-3</v>
      </c>
      <c r="L40" s="3">
        <f t="shared" si="6"/>
        <v>1.694810019277293E-3</v>
      </c>
      <c r="M40" s="3">
        <f t="shared" si="6"/>
        <v>1.6410612341569708E-3</v>
      </c>
      <c r="N40" s="3">
        <f t="shared" si="6"/>
        <v>1.5888696473648212E-3</v>
      </c>
      <c r="O40" s="3">
        <f t="shared" si="6"/>
        <v>1.538195211738036E-3</v>
      </c>
      <c r="P40" s="3">
        <f t="shared" si="6"/>
        <v>1.4889987452374465E-3</v>
      </c>
      <c r="Q40" s="3">
        <f t="shared" si="6"/>
        <v>1.4412419173399638E-3</v>
      </c>
      <c r="R40" s="4">
        <f t="shared" si="6"/>
        <v>1.3948872354923036E-3</v>
      </c>
    </row>
    <row r="41" spans="8:18" ht="15" customHeight="1" thickBot="1">
      <c r="H41" s="7">
        <v>3</v>
      </c>
      <c r="I41" s="8">
        <f t="shared" si="6"/>
        <v>1.3498980316301035E-3</v>
      </c>
      <c r="J41" s="8">
        <f t="shared" si="6"/>
        <v>1.3062384487694256E-3</v>
      </c>
      <c r="K41" s="8">
        <f t="shared" si="6"/>
        <v>1.2638734276723129E-3</v>
      </c>
      <c r="L41" s="8">
        <f t="shared" si="6"/>
        <v>1.2227686935922799E-3</v>
      </c>
      <c r="M41" s="8">
        <f t="shared" si="6"/>
        <v>1.1828907431044033E-3</v>
      </c>
      <c r="N41" s="8">
        <f t="shared" si="6"/>
        <v>1.1442068310226761E-3</v>
      </c>
      <c r="O41" s="8">
        <f t="shared" si="6"/>
        <v>1.1066849574092874E-3</v>
      </c>
      <c r="P41" s="8">
        <f t="shared" si="6"/>
        <v>1.0702938546789387E-3</v>
      </c>
      <c r="Q41" s="8">
        <f t="shared" si="6"/>
        <v>1.0350029748028566E-3</v>
      </c>
      <c r="R41" s="9">
        <f t="shared" si="6"/>
        <v>1.0007824766140594E-3</v>
      </c>
    </row>
    <row r="42" spans="8:18" ht="15" customHeight="1" thickTop="1"/>
  </sheetData>
  <mergeCells count="1">
    <mergeCell ref="H2:R2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980E4-E875-4F85-93BA-C6134DBC9797}">
  <dimension ref="B2:I605"/>
  <sheetViews>
    <sheetView workbookViewId="0"/>
  </sheetViews>
  <sheetFormatPr baseColWidth="10" defaultColWidth="8.83203125" defaultRowHeight="15"/>
  <sheetData>
    <row r="2" spans="2:9">
      <c r="B2" t="s">
        <v>21</v>
      </c>
    </row>
    <row r="3" spans="2:9" ht="16" thickBot="1"/>
    <row r="4" spans="2:9" ht="17" thickTop="1" thickBot="1">
      <c r="B4" s="30" t="s">
        <v>7</v>
      </c>
      <c r="C4" s="31" t="s">
        <v>8</v>
      </c>
      <c r="D4" s="31" t="s">
        <v>22</v>
      </c>
      <c r="E4" s="32" t="s">
        <v>23</v>
      </c>
      <c r="G4" s="47" t="s">
        <v>7</v>
      </c>
      <c r="H4" s="63" t="s">
        <v>22</v>
      </c>
      <c r="I4" s="64" t="s">
        <v>23</v>
      </c>
    </row>
    <row r="5" spans="2:9" ht="16" thickTop="1">
      <c r="B5" s="33">
        <v>1975</v>
      </c>
      <c r="C5" s="34" t="s">
        <v>9</v>
      </c>
      <c r="D5" s="28">
        <v>4.4000000000000004</v>
      </c>
      <c r="E5" s="29">
        <v>0</v>
      </c>
      <c r="G5" s="65" t="s">
        <v>34</v>
      </c>
      <c r="H5" s="23">
        <f>AVERAGE($D$5:$D$16)</f>
        <v>14.958333333333334</v>
      </c>
      <c r="I5" s="24">
        <f>AVERAGE($E$5:$E$16)</f>
        <v>3.75</v>
      </c>
    </row>
    <row r="6" spans="2:9" ht="16" thickBot="1">
      <c r="B6" s="35">
        <v>1975</v>
      </c>
      <c r="C6" s="36" t="s">
        <v>10</v>
      </c>
      <c r="D6" s="23">
        <v>4.5</v>
      </c>
      <c r="E6" s="24">
        <v>0</v>
      </c>
      <c r="G6" s="66" t="s">
        <v>35</v>
      </c>
      <c r="H6" s="26">
        <f>_xlfn.VAR.P($D$5:$D$16)</f>
        <v>60.502430555555598</v>
      </c>
      <c r="I6" s="27">
        <f>_xlfn.VAR.P($E$5:$E$16)</f>
        <v>45.6875</v>
      </c>
    </row>
    <row r="7" spans="2:9" ht="17" thickTop="1" thickBot="1">
      <c r="B7" s="35">
        <v>1975</v>
      </c>
      <c r="C7" s="36" t="s">
        <v>11</v>
      </c>
      <c r="D7" s="23">
        <v>7.4</v>
      </c>
      <c r="E7" s="24">
        <v>0</v>
      </c>
      <c r="G7" s="66" t="s">
        <v>36</v>
      </c>
      <c r="H7" s="26">
        <f>_xlfn.VAR.S($D$5:$D$16)</f>
        <v>66.002651515151555</v>
      </c>
      <c r="I7" s="27">
        <f>_xlfn.VAR.S($E$5:$E$16)</f>
        <v>49.840909090909093</v>
      </c>
    </row>
    <row r="8" spans="2:9" ht="16" thickTop="1">
      <c r="B8" s="35">
        <v>1975</v>
      </c>
      <c r="C8" s="36" t="s">
        <v>12</v>
      </c>
      <c r="D8" s="23">
        <v>13.6</v>
      </c>
      <c r="E8" s="24">
        <v>0</v>
      </c>
    </row>
    <row r="9" spans="2:9">
      <c r="B9" s="35">
        <v>1975</v>
      </c>
      <c r="C9" s="36" t="s">
        <v>13</v>
      </c>
      <c r="D9" s="23">
        <v>17.899999999999999</v>
      </c>
      <c r="E9" s="24">
        <v>0</v>
      </c>
    </row>
    <row r="10" spans="2:9">
      <c r="B10" s="35">
        <v>1975</v>
      </c>
      <c r="C10" s="36" t="s">
        <v>14</v>
      </c>
      <c r="D10" s="23">
        <v>20.8</v>
      </c>
      <c r="E10" s="24">
        <v>0</v>
      </c>
    </row>
    <row r="11" spans="2:9">
      <c r="B11" s="35">
        <v>1975</v>
      </c>
      <c r="C11" s="36" t="s">
        <v>15</v>
      </c>
      <c r="D11" s="23">
        <v>24.8</v>
      </c>
      <c r="E11" s="24">
        <v>11</v>
      </c>
    </row>
    <row r="12" spans="2:9">
      <c r="B12" s="35">
        <v>1975</v>
      </c>
      <c r="C12" s="36" t="s">
        <v>16</v>
      </c>
      <c r="D12" s="23">
        <v>26.3</v>
      </c>
      <c r="E12" s="24">
        <v>20</v>
      </c>
    </row>
    <row r="13" spans="2:9">
      <c r="B13" s="35">
        <v>1975</v>
      </c>
      <c r="C13" s="36" t="s">
        <v>17</v>
      </c>
      <c r="D13" s="23">
        <v>24.4</v>
      </c>
      <c r="E13" s="24">
        <v>14</v>
      </c>
    </row>
    <row r="14" spans="2:9">
      <c r="B14" s="35">
        <v>1975</v>
      </c>
      <c r="C14" s="36" t="s">
        <v>18</v>
      </c>
      <c r="D14" s="23">
        <v>16.899999999999999</v>
      </c>
      <c r="E14" s="24">
        <v>0</v>
      </c>
    </row>
    <row r="15" spans="2:9">
      <c r="B15" s="35">
        <v>1975</v>
      </c>
      <c r="C15" s="36" t="s">
        <v>19</v>
      </c>
      <c r="D15" s="23">
        <v>12.4</v>
      </c>
      <c r="E15" s="24">
        <v>0</v>
      </c>
    </row>
    <row r="16" spans="2:9">
      <c r="B16" s="35">
        <v>1975</v>
      </c>
      <c r="C16" s="36" t="s">
        <v>20</v>
      </c>
      <c r="D16" s="23">
        <v>6.1</v>
      </c>
      <c r="E16" s="24">
        <v>0</v>
      </c>
    </row>
    <row r="17" spans="2:5">
      <c r="B17" s="35">
        <v>1976</v>
      </c>
      <c r="C17" s="36" t="s">
        <v>9</v>
      </c>
      <c r="D17" s="23">
        <v>5.3</v>
      </c>
      <c r="E17" s="24">
        <v>0</v>
      </c>
    </row>
    <row r="18" spans="2:5">
      <c r="B18" s="35">
        <v>1976</v>
      </c>
      <c r="C18" s="36" t="s">
        <v>10</v>
      </c>
      <c r="D18" s="23">
        <v>6.3</v>
      </c>
      <c r="E18" s="24">
        <v>0</v>
      </c>
    </row>
    <row r="19" spans="2:5">
      <c r="B19" s="35">
        <v>1976</v>
      </c>
      <c r="C19" s="36" t="s">
        <v>11</v>
      </c>
      <c r="D19" s="23">
        <v>8.5</v>
      </c>
      <c r="E19" s="24">
        <v>0</v>
      </c>
    </row>
    <row r="20" spans="2:5">
      <c r="B20" s="35">
        <v>1976</v>
      </c>
      <c r="C20" s="36" t="s">
        <v>12</v>
      </c>
      <c r="D20" s="23">
        <v>12.6</v>
      </c>
      <c r="E20" s="24">
        <v>0</v>
      </c>
    </row>
    <row r="21" spans="2:5">
      <c r="B21" s="35">
        <v>1976</v>
      </c>
      <c r="C21" s="36" t="s">
        <v>13</v>
      </c>
      <c r="D21" s="23">
        <v>17.3</v>
      </c>
      <c r="E21" s="24">
        <v>0</v>
      </c>
    </row>
    <row r="22" spans="2:5">
      <c r="B22" s="35">
        <v>1976</v>
      </c>
      <c r="C22" s="36" t="s">
        <v>14</v>
      </c>
      <c r="D22" s="23">
        <v>20.9</v>
      </c>
      <c r="E22" s="24">
        <v>0</v>
      </c>
    </row>
    <row r="23" spans="2:5">
      <c r="B23" s="35">
        <v>1976</v>
      </c>
      <c r="C23" s="36" t="s">
        <v>15</v>
      </c>
      <c r="D23" s="23">
        <v>23.1</v>
      </c>
      <c r="E23" s="24">
        <v>6</v>
      </c>
    </row>
    <row r="24" spans="2:5">
      <c r="B24" s="35">
        <v>1976</v>
      </c>
      <c r="C24" s="36" t="s">
        <v>16</v>
      </c>
      <c r="D24" s="23">
        <v>24.6</v>
      </c>
      <c r="E24" s="24">
        <v>13</v>
      </c>
    </row>
    <row r="25" spans="2:5">
      <c r="B25" s="35">
        <v>1976</v>
      </c>
      <c r="C25" s="36" t="s">
        <v>17</v>
      </c>
      <c r="D25" s="23">
        <v>21.6</v>
      </c>
      <c r="E25" s="24">
        <v>3</v>
      </c>
    </row>
    <row r="26" spans="2:5">
      <c r="B26" s="35">
        <v>1976</v>
      </c>
      <c r="C26" s="36" t="s">
        <v>18</v>
      </c>
      <c r="D26" s="23">
        <v>17.100000000000001</v>
      </c>
      <c r="E26" s="24">
        <v>0</v>
      </c>
    </row>
    <row r="27" spans="2:5">
      <c r="B27" s="35">
        <v>1976</v>
      </c>
      <c r="C27" s="36" t="s">
        <v>19</v>
      </c>
      <c r="D27" s="23">
        <v>11.1</v>
      </c>
      <c r="E27" s="24">
        <v>0</v>
      </c>
    </row>
    <row r="28" spans="2:5">
      <c r="B28" s="35">
        <v>1976</v>
      </c>
      <c r="C28" s="36" t="s">
        <v>20</v>
      </c>
      <c r="D28" s="23">
        <v>7</v>
      </c>
      <c r="E28" s="24">
        <v>0</v>
      </c>
    </row>
    <row r="29" spans="2:5">
      <c r="B29" s="35">
        <v>1977</v>
      </c>
      <c r="C29" s="36" t="s">
        <v>9</v>
      </c>
      <c r="D29" s="23">
        <v>2.9</v>
      </c>
      <c r="E29" s="24">
        <v>0</v>
      </c>
    </row>
    <row r="30" spans="2:5">
      <c r="B30" s="35">
        <v>1977</v>
      </c>
      <c r="C30" s="36" t="s">
        <v>10</v>
      </c>
      <c r="D30" s="23">
        <v>4.5</v>
      </c>
      <c r="E30" s="24">
        <v>0</v>
      </c>
    </row>
    <row r="31" spans="2:5">
      <c r="B31" s="35">
        <v>1977</v>
      </c>
      <c r="C31" s="36" t="s">
        <v>11</v>
      </c>
      <c r="D31" s="23">
        <v>8.8000000000000007</v>
      </c>
      <c r="E31" s="24">
        <v>0</v>
      </c>
    </row>
    <row r="32" spans="2:5">
      <c r="B32" s="35">
        <v>1977</v>
      </c>
      <c r="C32" s="36" t="s">
        <v>12</v>
      </c>
      <c r="D32" s="23">
        <v>14.4</v>
      </c>
      <c r="E32" s="24">
        <v>0</v>
      </c>
    </row>
    <row r="33" spans="2:5">
      <c r="B33" s="35">
        <v>1977</v>
      </c>
      <c r="C33" s="36" t="s">
        <v>13</v>
      </c>
      <c r="D33" s="23">
        <v>17.7</v>
      </c>
      <c r="E33" s="24">
        <v>0</v>
      </c>
    </row>
    <row r="34" spans="2:5">
      <c r="B34" s="35">
        <v>1977</v>
      </c>
      <c r="C34" s="36" t="s">
        <v>14</v>
      </c>
      <c r="D34" s="23">
        <v>20.2</v>
      </c>
      <c r="E34" s="24">
        <v>0</v>
      </c>
    </row>
    <row r="35" spans="2:5">
      <c r="B35" s="35">
        <v>1977</v>
      </c>
      <c r="C35" s="36" t="s">
        <v>15</v>
      </c>
      <c r="D35" s="23">
        <v>24.8</v>
      </c>
      <c r="E35" s="24">
        <v>4</v>
      </c>
    </row>
    <row r="36" spans="2:5">
      <c r="B36" s="35">
        <v>1977</v>
      </c>
      <c r="C36" s="36" t="s">
        <v>16</v>
      </c>
      <c r="D36" s="23">
        <v>24.3</v>
      </c>
      <c r="E36" s="24">
        <v>6</v>
      </c>
    </row>
    <row r="37" spans="2:5">
      <c r="B37" s="35">
        <v>1977</v>
      </c>
      <c r="C37" s="36" t="s">
        <v>17</v>
      </c>
      <c r="D37" s="23">
        <v>23.7</v>
      </c>
      <c r="E37" s="24">
        <v>6</v>
      </c>
    </row>
    <row r="38" spans="2:5">
      <c r="B38" s="35">
        <v>1977</v>
      </c>
      <c r="C38" s="36" t="s">
        <v>18</v>
      </c>
      <c r="D38" s="23">
        <v>18.100000000000001</v>
      </c>
      <c r="E38" s="24">
        <v>0</v>
      </c>
    </row>
    <row r="39" spans="2:5">
      <c r="B39" s="35">
        <v>1977</v>
      </c>
      <c r="C39" s="36" t="s">
        <v>19</v>
      </c>
      <c r="D39" s="23">
        <v>14.5</v>
      </c>
      <c r="E39" s="24">
        <v>0</v>
      </c>
    </row>
    <row r="40" spans="2:5">
      <c r="B40" s="35">
        <v>1977</v>
      </c>
      <c r="C40" s="36" t="s">
        <v>20</v>
      </c>
      <c r="D40" s="23">
        <v>8.6999999999999993</v>
      </c>
      <c r="E40" s="24">
        <v>0</v>
      </c>
    </row>
    <row r="41" spans="2:5">
      <c r="B41" s="35">
        <v>1978</v>
      </c>
      <c r="C41" s="36" t="s">
        <v>9</v>
      </c>
      <c r="D41" s="23">
        <v>5.6</v>
      </c>
      <c r="E41" s="24">
        <v>0</v>
      </c>
    </row>
    <row r="42" spans="2:5">
      <c r="B42" s="35">
        <v>1978</v>
      </c>
      <c r="C42" s="36" t="s">
        <v>10</v>
      </c>
      <c r="D42" s="23">
        <v>3.8</v>
      </c>
      <c r="E42" s="24">
        <v>0</v>
      </c>
    </row>
    <row r="43" spans="2:5">
      <c r="B43" s="35">
        <v>1978</v>
      </c>
      <c r="C43" s="36" t="s">
        <v>11</v>
      </c>
      <c r="D43" s="23">
        <v>8</v>
      </c>
      <c r="E43" s="24">
        <v>0</v>
      </c>
    </row>
    <row r="44" spans="2:5">
      <c r="B44" s="35">
        <v>1978</v>
      </c>
      <c r="C44" s="36" t="s">
        <v>12</v>
      </c>
      <c r="D44" s="23">
        <v>13.3</v>
      </c>
      <c r="E44" s="24">
        <v>0</v>
      </c>
    </row>
    <row r="45" spans="2:5">
      <c r="B45" s="35">
        <v>1978</v>
      </c>
      <c r="C45" s="36" t="s">
        <v>13</v>
      </c>
      <c r="D45" s="23">
        <v>18.2</v>
      </c>
      <c r="E45" s="24">
        <v>0</v>
      </c>
    </row>
    <row r="46" spans="2:5">
      <c r="B46" s="35">
        <v>1978</v>
      </c>
      <c r="C46" s="36" t="s">
        <v>14</v>
      </c>
      <c r="D46" s="23">
        <v>23.1</v>
      </c>
      <c r="E46" s="24">
        <v>1</v>
      </c>
    </row>
    <row r="47" spans="2:5">
      <c r="B47" s="35">
        <v>1978</v>
      </c>
      <c r="C47" s="36" t="s">
        <v>15</v>
      </c>
      <c r="D47" s="23">
        <v>26.7</v>
      </c>
      <c r="E47" s="24">
        <v>18</v>
      </c>
    </row>
    <row r="48" spans="2:5">
      <c r="B48" s="35">
        <v>1978</v>
      </c>
      <c r="C48" s="36" t="s">
        <v>16</v>
      </c>
      <c r="D48" s="23">
        <v>27.9</v>
      </c>
      <c r="E48" s="24">
        <v>27</v>
      </c>
    </row>
    <row r="49" spans="2:5">
      <c r="B49" s="35">
        <v>1978</v>
      </c>
      <c r="C49" s="36" t="s">
        <v>17</v>
      </c>
      <c r="D49" s="23">
        <v>21.6</v>
      </c>
      <c r="E49" s="24">
        <v>2</v>
      </c>
    </row>
    <row r="50" spans="2:5">
      <c r="B50" s="35">
        <v>1978</v>
      </c>
      <c r="C50" s="36" t="s">
        <v>18</v>
      </c>
      <c r="D50" s="23">
        <v>16.8</v>
      </c>
      <c r="E50" s="24">
        <v>0</v>
      </c>
    </row>
    <row r="51" spans="2:5">
      <c r="B51" s="35">
        <v>1978</v>
      </c>
      <c r="C51" s="36" t="s">
        <v>19</v>
      </c>
      <c r="D51" s="23">
        <v>12.2</v>
      </c>
      <c r="E51" s="24">
        <v>0</v>
      </c>
    </row>
    <row r="52" spans="2:5">
      <c r="B52" s="35">
        <v>1978</v>
      </c>
      <c r="C52" s="36" t="s">
        <v>20</v>
      </c>
      <c r="D52" s="23">
        <v>7.9</v>
      </c>
      <c r="E52" s="24">
        <v>0</v>
      </c>
    </row>
    <row r="53" spans="2:5">
      <c r="B53" s="35">
        <v>1979</v>
      </c>
      <c r="C53" s="36" t="s">
        <v>9</v>
      </c>
      <c r="D53" s="23">
        <v>5.8</v>
      </c>
      <c r="E53" s="24">
        <v>0</v>
      </c>
    </row>
    <row r="54" spans="2:5">
      <c r="B54" s="35">
        <v>1979</v>
      </c>
      <c r="C54" s="36" t="s">
        <v>10</v>
      </c>
      <c r="D54" s="23">
        <v>8.1999999999999993</v>
      </c>
      <c r="E54" s="24">
        <v>0</v>
      </c>
    </row>
    <row r="55" spans="2:5">
      <c r="B55" s="35">
        <v>1979</v>
      </c>
      <c r="C55" s="36" t="s">
        <v>11</v>
      </c>
      <c r="D55" s="23">
        <v>9.4</v>
      </c>
      <c r="E55" s="24">
        <v>0</v>
      </c>
    </row>
    <row r="56" spans="2:5">
      <c r="B56" s="35">
        <v>1979</v>
      </c>
      <c r="C56" s="36" t="s">
        <v>12</v>
      </c>
      <c r="D56" s="23">
        <v>13.3</v>
      </c>
      <c r="E56" s="24">
        <v>0</v>
      </c>
    </row>
    <row r="57" spans="2:5">
      <c r="B57" s="35">
        <v>1979</v>
      </c>
      <c r="C57" s="36" t="s">
        <v>13</v>
      </c>
      <c r="D57" s="23">
        <v>17.7</v>
      </c>
      <c r="E57" s="24">
        <v>0</v>
      </c>
    </row>
    <row r="58" spans="2:5">
      <c r="B58" s="35">
        <v>1979</v>
      </c>
      <c r="C58" s="36" t="s">
        <v>14</v>
      </c>
      <c r="D58" s="23">
        <v>23.4</v>
      </c>
      <c r="E58" s="24">
        <v>3</v>
      </c>
    </row>
    <row r="59" spans="2:5">
      <c r="B59" s="35">
        <v>1979</v>
      </c>
      <c r="C59" s="36" t="s">
        <v>15</v>
      </c>
      <c r="D59" s="23">
        <v>24.2</v>
      </c>
      <c r="E59" s="24">
        <v>8</v>
      </c>
    </row>
    <row r="60" spans="2:5">
      <c r="B60" s="35">
        <v>1979</v>
      </c>
      <c r="C60" s="36" t="s">
        <v>16</v>
      </c>
      <c r="D60" s="23">
        <v>26.7</v>
      </c>
      <c r="E60" s="24">
        <v>21</v>
      </c>
    </row>
    <row r="61" spans="2:5">
      <c r="B61" s="35">
        <v>1979</v>
      </c>
      <c r="C61" s="36" t="s">
        <v>17</v>
      </c>
      <c r="D61" s="23">
        <v>23.4</v>
      </c>
      <c r="E61" s="24">
        <v>5</v>
      </c>
    </row>
    <row r="62" spans="2:5">
      <c r="B62" s="35">
        <v>1979</v>
      </c>
      <c r="C62" s="36" t="s">
        <v>18</v>
      </c>
      <c r="D62" s="23">
        <v>18.899999999999999</v>
      </c>
      <c r="E62" s="24">
        <v>0</v>
      </c>
    </row>
    <row r="63" spans="2:5">
      <c r="B63" s="35">
        <v>1979</v>
      </c>
      <c r="C63" s="36" t="s">
        <v>19</v>
      </c>
      <c r="D63" s="23">
        <v>14</v>
      </c>
      <c r="E63" s="24">
        <v>0</v>
      </c>
    </row>
    <row r="64" spans="2:5">
      <c r="B64" s="35">
        <v>1979</v>
      </c>
      <c r="C64" s="36" t="s">
        <v>20</v>
      </c>
      <c r="D64" s="23">
        <v>9.3000000000000007</v>
      </c>
      <c r="E64" s="24">
        <v>0</v>
      </c>
    </row>
    <row r="65" spans="2:5">
      <c r="B65" s="35">
        <v>1980</v>
      </c>
      <c r="C65" s="36" t="s">
        <v>9</v>
      </c>
      <c r="D65" s="23">
        <v>5.5</v>
      </c>
      <c r="E65" s="24">
        <v>0</v>
      </c>
    </row>
    <row r="66" spans="2:5">
      <c r="B66" s="35">
        <v>1980</v>
      </c>
      <c r="C66" s="36" t="s">
        <v>10</v>
      </c>
      <c r="D66" s="23">
        <v>4.8</v>
      </c>
      <c r="E66" s="24">
        <v>0</v>
      </c>
    </row>
    <row r="67" spans="2:5">
      <c r="B67" s="35">
        <v>1980</v>
      </c>
      <c r="C67" s="36" t="s">
        <v>11</v>
      </c>
      <c r="D67" s="23">
        <v>7.8</v>
      </c>
      <c r="E67" s="24">
        <v>0</v>
      </c>
    </row>
    <row r="68" spans="2:5">
      <c r="B68" s="35">
        <v>1980</v>
      </c>
      <c r="C68" s="36" t="s">
        <v>12</v>
      </c>
      <c r="D68" s="23">
        <v>13.1</v>
      </c>
      <c r="E68" s="24">
        <v>0</v>
      </c>
    </row>
    <row r="69" spans="2:5">
      <c r="B69" s="35">
        <v>1980</v>
      </c>
      <c r="C69" s="36" t="s">
        <v>13</v>
      </c>
      <c r="D69" s="23">
        <v>18.5</v>
      </c>
      <c r="E69" s="24">
        <v>0</v>
      </c>
    </row>
    <row r="70" spans="2:5">
      <c r="B70" s="35">
        <v>1980</v>
      </c>
      <c r="C70" s="36" t="s">
        <v>14</v>
      </c>
      <c r="D70" s="23">
        <v>22.8</v>
      </c>
      <c r="E70" s="24">
        <v>1</v>
      </c>
    </row>
    <row r="71" spans="2:5">
      <c r="B71" s="35">
        <v>1980</v>
      </c>
      <c r="C71" s="36" t="s">
        <v>15</v>
      </c>
      <c r="D71" s="23">
        <v>23.3</v>
      </c>
      <c r="E71" s="24">
        <v>5</v>
      </c>
    </row>
    <row r="72" spans="2:5">
      <c r="B72" s="35">
        <v>1980</v>
      </c>
      <c r="C72" s="36" t="s">
        <v>16</v>
      </c>
      <c r="D72" s="23">
        <v>22.6</v>
      </c>
      <c r="E72" s="24">
        <v>4</v>
      </c>
    </row>
    <row r="73" spans="2:5">
      <c r="B73" s="35">
        <v>1980</v>
      </c>
      <c r="C73" s="36" t="s">
        <v>17</v>
      </c>
      <c r="D73" s="23">
        <v>22.6</v>
      </c>
      <c r="E73" s="24">
        <v>5</v>
      </c>
    </row>
    <row r="74" spans="2:5">
      <c r="B74" s="35">
        <v>1980</v>
      </c>
      <c r="C74" s="36" t="s">
        <v>18</v>
      </c>
      <c r="D74" s="23">
        <v>17.8</v>
      </c>
      <c r="E74" s="24">
        <v>0</v>
      </c>
    </row>
    <row r="75" spans="2:5">
      <c r="B75" s="35">
        <v>1980</v>
      </c>
      <c r="C75" s="36" t="s">
        <v>19</v>
      </c>
      <c r="D75" s="23">
        <v>12.5</v>
      </c>
      <c r="E75" s="24">
        <v>0</v>
      </c>
    </row>
    <row r="76" spans="2:5">
      <c r="B76" s="35">
        <v>1980</v>
      </c>
      <c r="C76" s="36" t="s">
        <v>20</v>
      </c>
      <c r="D76" s="23">
        <v>7.4</v>
      </c>
      <c r="E76" s="24">
        <v>0</v>
      </c>
    </row>
    <row r="77" spans="2:5">
      <c r="B77" s="35">
        <v>1981</v>
      </c>
      <c r="C77" s="36" t="s">
        <v>9</v>
      </c>
      <c r="D77" s="23">
        <v>3.9</v>
      </c>
      <c r="E77" s="24">
        <v>0</v>
      </c>
    </row>
    <row r="78" spans="2:5">
      <c r="B78" s="35">
        <v>1981</v>
      </c>
      <c r="C78" s="36" t="s">
        <v>10</v>
      </c>
      <c r="D78" s="23">
        <v>4.5999999999999996</v>
      </c>
      <c r="E78" s="24">
        <v>0</v>
      </c>
    </row>
    <row r="79" spans="2:5">
      <c r="B79" s="35">
        <v>1981</v>
      </c>
      <c r="C79" s="36" t="s">
        <v>11</v>
      </c>
      <c r="D79" s="23">
        <v>8.4</v>
      </c>
      <c r="E79" s="24">
        <v>0</v>
      </c>
    </row>
    <row r="80" spans="2:5">
      <c r="B80" s="35">
        <v>1981</v>
      </c>
      <c r="C80" s="36" t="s">
        <v>12</v>
      </c>
      <c r="D80" s="23">
        <v>13</v>
      </c>
      <c r="E80" s="24">
        <v>0</v>
      </c>
    </row>
    <row r="81" spans="2:5">
      <c r="B81" s="35">
        <v>1981</v>
      </c>
      <c r="C81" s="36" t="s">
        <v>13</v>
      </c>
      <c r="D81" s="23">
        <v>16.600000000000001</v>
      </c>
      <c r="E81" s="24">
        <v>0</v>
      </c>
    </row>
    <row r="82" spans="2:5">
      <c r="B82" s="35">
        <v>1981</v>
      </c>
      <c r="C82" s="36" t="s">
        <v>14</v>
      </c>
      <c r="D82" s="23">
        <v>19.2</v>
      </c>
      <c r="E82" s="24">
        <v>0</v>
      </c>
    </row>
    <row r="83" spans="2:5">
      <c r="B83" s="35">
        <v>1981</v>
      </c>
      <c r="C83" s="36" t="s">
        <v>15</v>
      </c>
      <c r="D83" s="23">
        <v>25.4</v>
      </c>
      <c r="E83" s="24">
        <v>18</v>
      </c>
    </row>
    <row r="84" spans="2:5">
      <c r="B84" s="35">
        <v>1981</v>
      </c>
      <c r="C84" s="36" t="s">
        <v>16</v>
      </c>
      <c r="D84" s="23">
        <v>25.5</v>
      </c>
      <c r="E84" s="24">
        <v>14</v>
      </c>
    </row>
    <row r="85" spans="2:5">
      <c r="B85" s="35">
        <v>1981</v>
      </c>
      <c r="C85" s="36" t="s">
        <v>17</v>
      </c>
      <c r="D85" s="23">
        <v>21.1</v>
      </c>
      <c r="E85" s="24">
        <v>3</v>
      </c>
    </row>
    <row r="86" spans="2:5">
      <c r="B86" s="35">
        <v>1981</v>
      </c>
      <c r="C86" s="36" t="s">
        <v>18</v>
      </c>
      <c r="D86" s="23">
        <v>17.2</v>
      </c>
      <c r="E86" s="24">
        <v>0</v>
      </c>
    </row>
    <row r="87" spans="2:5">
      <c r="B87" s="35">
        <v>1981</v>
      </c>
      <c r="C87" s="36" t="s">
        <v>19</v>
      </c>
      <c r="D87" s="23">
        <v>9.9</v>
      </c>
      <c r="E87" s="24">
        <v>0</v>
      </c>
    </row>
    <row r="88" spans="2:5">
      <c r="B88" s="35">
        <v>1981</v>
      </c>
      <c r="C88" s="36" t="s">
        <v>20</v>
      </c>
      <c r="D88" s="23">
        <v>6.8</v>
      </c>
      <c r="E88" s="24">
        <v>0</v>
      </c>
    </row>
    <row r="89" spans="2:5">
      <c r="B89" s="35">
        <v>1982</v>
      </c>
      <c r="C89" s="36" t="s">
        <v>9</v>
      </c>
      <c r="D89" s="23">
        <v>5.0999999999999996</v>
      </c>
      <c r="E89" s="24">
        <v>0</v>
      </c>
    </row>
    <row r="90" spans="2:5">
      <c r="B90" s="35">
        <v>1982</v>
      </c>
      <c r="C90" s="36" t="s">
        <v>10</v>
      </c>
      <c r="D90" s="23">
        <v>4.7</v>
      </c>
      <c r="E90" s="24">
        <v>0</v>
      </c>
    </row>
    <row r="91" spans="2:5">
      <c r="B91" s="35">
        <v>1982</v>
      </c>
      <c r="C91" s="36" t="s">
        <v>11</v>
      </c>
      <c r="D91" s="23">
        <v>8.9</v>
      </c>
      <c r="E91" s="24">
        <v>0</v>
      </c>
    </row>
    <row r="92" spans="2:5">
      <c r="B92" s="35">
        <v>1982</v>
      </c>
      <c r="C92" s="36" t="s">
        <v>12</v>
      </c>
      <c r="D92" s="23">
        <v>13.2</v>
      </c>
      <c r="E92" s="24">
        <v>0</v>
      </c>
    </row>
    <row r="93" spans="2:5">
      <c r="B93" s="35">
        <v>1982</v>
      </c>
      <c r="C93" s="36" t="s">
        <v>13</v>
      </c>
      <c r="D93" s="23">
        <v>19.7</v>
      </c>
      <c r="E93" s="24">
        <v>0</v>
      </c>
    </row>
    <row r="94" spans="2:5">
      <c r="B94" s="35">
        <v>1982</v>
      </c>
      <c r="C94" s="36" t="s">
        <v>14</v>
      </c>
      <c r="D94" s="23">
        <v>20.399999999999999</v>
      </c>
      <c r="E94" s="24">
        <v>0</v>
      </c>
    </row>
    <row r="95" spans="2:5">
      <c r="B95" s="35">
        <v>1982</v>
      </c>
      <c r="C95" s="36" t="s">
        <v>15</v>
      </c>
      <c r="D95" s="23">
        <v>21.9</v>
      </c>
      <c r="E95" s="24">
        <v>0</v>
      </c>
    </row>
    <row r="96" spans="2:5">
      <c r="B96" s="35">
        <v>1982</v>
      </c>
      <c r="C96" s="36" t="s">
        <v>16</v>
      </c>
      <c r="D96" s="23">
        <v>26.1</v>
      </c>
      <c r="E96" s="24">
        <v>12</v>
      </c>
    </row>
    <row r="97" spans="2:5">
      <c r="B97" s="35">
        <v>1982</v>
      </c>
      <c r="C97" s="36" t="s">
        <v>17</v>
      </c>
      <c r="D97" s="23">
        <v>21.3</v>
      </c>
      <c r="E97" s="24">
        <v>1</v>
      </c>
    </row>
    <row r="98" spans="2:5">
      <c r="B98" s="35">
        <v>1982</v>
      </c>
      <c r="C98" s="36" t="s">
        <v>18</v>
      </c>
      <c r="D98" s="23">
        <v>16.8</v>
      </c>
      <c r="E98" s="24">
        <v>0</v>
      </c>
    </row>
    <row r="99" spans="2:5">
      <c r="B99" s="35">
        <v>1982</v>
      </c>
      <c r="C99" s="36" t="s">
        <v>19</v>
      </c>
      <c r="D99" s="23">
        <v>13.5</v>
      </c>
      <c r="E99" s="24">
        <v>0</v>
      </c>
    </row>
    <row r="100" spans="2:5">
      <c r="B100" s="35">
        <v>1982</v>
      </c>
      <c r="C100" s="36" t="s">
        <v>20</v>
      </c>
      <c r="D100" s="23">
        <v>8.4</v>
      </c>
      <c r="E100" s="24">
        <v>0</v>
      </c>
    </row>
    <row r="101" spans="2:5">
      <c r="B101" s="35">
        <v>1983</v>
      </c>
      <c r="C101" s="36" t="s">
        <v>9</v>
      </c>
      <c r="D101" s="23">
        <v>5.3</v>
      </c>
      <c r="E101" s="24">
        <v>0</v>
      </c>
    </row>
    <row r="102" spans="2:5">
      <c r="B102" s="35">
        <v>1983</v>
      </c>
      <c r="C102" s="36" t="s">
        <v>10</v>
      </c>
      <c r="D102" s="23">
        <v>5.2</v>
      </c>
      <c r="E102" s="24">
        <v>0</v>
      </c>
    </row>
    <row r="103" spans="2:5">
      <c r="B103" s="35">
        <v>1983</v>
      </c>
      <c r="C103" s="36" t="s">
        <v>11</v>
      </c>
      <c r="D103" s="23">
        <v>7.7</v>
      </c>
      <c r="E103" s="24">
        <v>0</v>
      </c>
    </row>
    <row r="104" spans="2:5">
      <c r="B104" s="35">
        <v>1983</v>
      </c>
      <c r="C104" s="36" t="s">
        <v>12</v>
      </c>
      <c r="D104" s="23">
        <v>14.7</v>
      </c>
      <c r="E104" s="24">
        <v>0</v>
      </c>
    </row>
    <row r="105" spans="2:5">
      <c r="B105" s="35">
        <v>1983</v>
      </c>
      <c r="C105" s="36" t="s">
        <v>13</v>
      </c>
      <c r="D105" s="23">
        <v>18.600000000000001</v>
      </c>
      <c r="E105" s="24">
        <v>0</v>
      </c>
    </row>
    <row r="106" spans="2:5">
      <c r="B106" s="35">
        <v>1983</v>
      </c>
      <c r="C106" s="36" t="s">
        <v>14</v>
      </c>
      <c r="D106" s="23">
        <v>19.2</v>
      </c>
      <c r="E106" s="24">
        <v>0</v>
      </c>
    </row>
    <row r="107" spans="2:5">
      <c r="B107" s="35">
        <v>1983</v>
      </c>
      <c r="C107" s="36" t="s">
        <v>15</v>
      </c>
      <c r="D107" s="23">
        <v>22.6</v>
      </c>
      <c r="E107" s="24">
        <v>6</v>
      </c>
    </row>
    <row r="108" spans="2:5">
      <c r="B108" s="35">
        <v>1983</v>
      </c>
      <c r="C108" s="36" t="s">
        <v>16</v>
      </c>
      <c r="D108" s="23">
        <v>26.2</v>
      </c>
      <c r="E108" s="24">
        <v>16</v>
      </c>
    </row>
    <row r="109" spans="2:5">
      <c r="B109" s="35">
        <v>1983</v>
      </c>
      <c r="C109" s="36" t="s">
        <v>17</v>
      </c>
      <c r="D109" s="23">
        <v>22.1</v>
      </c>
      <c r="E109" s="24">
        <v>8</v>
      </c>
    </row>
    <row r="110" spans="2:5">
      <c r="B110" s="35">
        <v>1983</v>
      </c>
      <c r="C110" s="36" t="s">
        <v>18</v>
      </c>
      <c r="D110" s="23">
        <v>16.8</v>
      </c>
      <c r="E110" s="24">
        <v>0</v>
      </c>
    </row>
    <row r="111" spans="2:5">
      <c r="B111" s="35">
        <v>1983</v>
      </c>
      <c r="C111" s="36" t="s">
        <v>19</v>
      </c>
      <c r="D111" s="23">
        <v>11.3</v>
      </c>
      <c r="E111" s="24">
        <v>0</v>
      </c>
    </row>
    <row r="112" spans="2:5">
      <c r="B112" s="35">
        <v>1983</v>
      </c>
      <c r="C112" s="36" t="s">
        <v>20</v>
      </c>
      <c r="D112" s="23">
        <v>6.2</v>
      </c>
      <c r="E112" s="24">
        <v>0</v>
      </c>
    </row>
    <row r="113" spans="2:5">
      <c r="B113" s="35">
        <v>1984</v>
      </c>
      <c r="C113" s="36" t="s">
        <v>9</v>
      </c>
      <c r="D113" s="23">
        <v>2.6</v>
      </c>
      <c r="E113" s="24">
        <v>0</v>
      </c>
    </row>
    <row r="114" spans="2:5">
      <c r="B114" s="35">
        <v>1984</v>
      </c>
      <c r="C114" s="36" t="s">
        <v>10</v>
      </c>
      <c r="D114" s="23">
        <v>2.1</v>
      </c>
      <c r="E114" s="24">
        <v>0</v>
      </c>
    </row>
    <row r="115" spans="2:5">
      <c r="B115" s="35">
        <v>1984</v>
      </c>
      <c r="C115" s="36" t="s">
        <v>11</v>
      </c>
      <c r="D115" s="23">
        <v>4.9000000000000004</v>
      </c>
      <c r="E115" s="24">
        <v>0</v>
      </c>
    </row>
    <row r="116" spans="2:5">
      <c r="B116" s="35">
        <v>1984</v>
      </c>
      <c r="C116" s="36" t="s">
        <v>12</v>
      </c>
      <c r="D116" s="23">
        <v>10.199999999999999</v>
      </c>
      <c r="E116" s="24">
        <v>0</v>
      </c>
    </row>
    <row r="117" spans="2:5">
      <c r="B117" s="35">
        <v>1984</v>
      </c>
      <c r="C117" s="36" t="s">
        <v>13</v>
      </c>
      <c r="D117" s="23">
        <v>15.8</v>
      </c>
      <c r="E117" s="24">
        <v>0</v>
      </c>
    </row>
    <row r="118" spans="2:5">
      <c r="B118" s="35">
        <v>1984</v>
      </c>
      <c r="C118" s="36" t="s">
        <v>14</v>
      </c>
      <c r="D118" s="23">
        <v>20.5</v>
      </c>
      <c r="E118" s="24">
        <v>0</v>
      </c>
    </row>
    <row r="119" spans="2:5">
      <c r="B119" s="35">
        <v>1984</v>
      </c>
      <c r="C119" s="36" t="s">
        <v>15</v>
      </c>
      <c r="D119" s="23">
        <v>24.8</v>
      </c>
      <c r="E119" s="24">
        <v>9</v>
      </c>
    </row>
    <row r="120" spans="2:5">
      <c r="B120" s="35">
        <v>1984</v>
      </c>
      <c r="C120" s="36" t="s">
        <v>16</v>
      </c>
      <c r="D120" s="23">
        <v>27.2</v>
      </c>
      <c r="E120" s="24">
        <v>23</v>
      </c>
    </row>
    <row r="121" spans="2:5">
      <c r="B121" s="35">
        <v>1984</v>
      </c>
      <c r="C121" s="36" t="s">
        <v>17</v>
      </c>
      <c r="D121" s="23">
        <v>22.4</v>
      </c>
      <c r="E121" s="24">
        <v>5</v>
      </c>
    </row>
    <row r="122" spans="2:5">
      <c r="B122" s="35">
        <v>1984</v>
      </c>
      <c r="C122" s="36" t="s">
        <v>18</v>
      </c>
      <c r="D122" s="23">
        <v>16.600000000000001</v>
      </c>
      <c r="E122" s="24">
        <v>0</v>
      </c>
    </row>
    <row r="123" spans="2:5">
      <c r="B123" s="35">
        <v>1984</v>
      </c>
      <c r="C123" s="36" t="s">
        <v>19</v>
      </c>
      <c r="D123" s="23">
        <v>11.2</v>
      </c>
      <c r="E123" s="24">
        <v>0</v>
      </c>
    </row>
    <row r="124" spans="2:5">
      <c r="B124" s="35">
        <v>1984</v>
      </c>
      <c r="C124" s="36" t="s">
        <v>20</v>
      </c>
      <c r="D124" s="23">
        <v>6.7</v>
      </c>
      <c r="E124" s="24">
        <v>0</v>
      </c>
    </row>
    <row r="125" spans="2:5">
      <c r="B125" s="35">
        <v>1985</v>
      </c>
      <c r="C125" s="36" t="s">
        <v>9</v>
      </c>
      <c r="D125" s="23">
        <v>3.2</v>
      </c>
      <c r="E125" s="24">
        <v>0</v>
      </c>
    </row>
    <row r="126" spans="2:5">
      <c r="B126" s="35">
        <v>1985</v>
      </c>
      <c r="C126" s="36" t="s">
        <v>10</v>
      </c>
      <c r="D126" s="23">
        <v>6</v>
      </c>
      <c r="E126" s="24">
        <v>0</v>
      </c>
    </row>
    <row r="127" spans="2:5">
      <c r="B127" s="35">
        <v>1985</v>
      </c>
      <c r="C127" s="36" t="s">
        <v>11</v>
      </c>
      <c r="D127" s="23">
        <v>7.3</v>
      </c>
      <c r="E127" s="24">
        <v>0</v>
      </c>
    </row>
    <row r="128" spans="2:5">
      <c r="B128" s="35">
        <v>1985</v>
      </c>
      <c r="C128" s="36" t="s">
        <v>12</v>
      </c>
      <c r="D128" s="23">
        <v>13.4</v>
      </c>
      <c r="E128" s="24">
        <v>0</v>
      </c>
    </row>
    <row r="129" spans="2:5">
      <c r="B129" s="35">
        <v>1985</v>
      </c>
      <c r="C129" s="36" t="s">
        <v>13</v>
      </c>
      <c r="D129" s="23">
        <v>18.3</v>
      </c>
      <c r="E129" s="24">
        <v>0</v>
      </c>
    </row>
    <row r="130" spans="2:5">
      <c r="B130" s="35">
        <v>1985</v>
      </c>
      <c r="C130" s="36" t="s">
        <v>14</v>
      </c>
      <c r="D130" s="23">
        <v>19.7</v>
      </c>
      <c r="E130" s="24">
        <v>0</v>
      </c>
    </row>
    <row r="131" spans="2:5">
      <c r="B131" s="35">
        <v>1985</v>
      </c>
      <c r="C131" s="36" t="s">
        <v>15</v>
      </c>
      <c r="D131" s="23">
        <v>25.7</v>
      </c>
      <c r="E131" s="24">
        <v>16</v>
      </c>
    </row>
    <row r="132" spans="2:5">
      <c r="B132" s="35">
        <v>1985</v>
      </c>
      <c r="C132" s="36" t="s">
        <v>16</v>
      </c>
      <c r="D132" s="23">
        <v>27.2</v>
      </c>
      <c r="E132" s="24">
        <v>25</v>
      </c>
    </row>
    <row r="133" spans="2:5">
      <c r="B133" s="35">
        <v>1985</v>
      </c>
      <c r="C133" s="36" t="s">
        <v>17</v>
      </c>
      <c r="D133" s="23">
        <v>22.7</v>
      </c>
      <c r="E133" s="24">
        <v>9</v>
      </c>
    </row>
    <row r="134" spans="2:5">
      <c r="B134" s="35">
        <v>1985</v>
      </c>
      <c r="C134" s="36" t="s">
        <v>18</v>
      </c>
      <c r="D134" s="23">
        <v>17.5</v>
      </c>
      <c r="E134" s="24">
        <v>0</v>
      </c>
    </row>
    <row r="135" spans="2:5">
      <c r="B135" s="35">
        <v>1985</v>
      </c>
      <c r="C135" s="36" t="s">
        <v>19</v>
      </c>
      <c r="D135" s="23">
        <v>13.1</v>
      </c>
      <c r="E135" s="24">
        <v>0</v>
      </c>
    </row>
    <row r="136" spans="2:5">
      <c r="B136" s="35">
        <v>1985</v>
      </c>
      <c r="C136" s="36" t="s">
        <v>20</v>
      </c>
      <c r="D136" s="23">
        <v>7.2</v>
      </c>
      <c r="E136" s="24">
        <v>0</v>
      </c>
    </row>
    <row r="137" spans="2:5">
      <c r="B137" s="35">
        <v>1986</v>
      </c>
      <c r="C137" s="36" t="s">
        <v>9</v>
      </c>
      <c r="D137" s="23">
        <v>4.2</v>
      </c>
      <c r="E137" s="24">
        <v>0</v>
      </c>
    </row>
    <row r="138" spans="2:5">
      <c r="B138" s="35">
        <v>1986</v>
      </c>
      <c r="C138" s="36" t="s">
        <v>10</v>
      </c>
      <c r="D138" s="23">
        <v>3.6</v>
      </c>
      <c r="E138" s="24">
        <v>0</v>
      </c>
    </row>
    <row r="139" spans="2:5">
      <c r="B139" s="35">
        <v>1986</v>
      </c>
      <c r="C139" s="36" t="s">
        <v>11</v>
      </c>
      <c r="D139" s="23">
        <v>7.3</v>
      </c>
      <c r="E139" s="24">
        <v>0</v>
      </c>
    </row>
    <row r="140" spans="2:5">
      <c r="B140" s="35">
        <v>1986</v>
      </c>
      <c r="C140" s="36" t="s">
        <v>12</v>
      </c>
      <c r="D140" s="23">
        <v>13.1</v>
      </c>
      <c r="E140" s="24">
        <v>0</v>
      </c>
    </row>
    <row r="141" spans="2:5">
      <c r="B141" s="35">
        <v>1986</v>
      </c>
      <c r="C141" s="36" t="s">
        <v>13</v>
      </c>
      <c r="D141" s="23">
        <v>17.100000000000001</v>
      </c>
      <c r="E141" s="24">
        <v>0</v>
      </c>
    </row>
    <row r="142" spans="2:5">
      <c r="B142" s="35">
        <v>1986</v>
      </c>
      <c r="C142" s="36" t="s">
        <v>14</v>
      </c>
      <c r="D142" s="23">
        <v>20.3</v>
      </c>
      <c r="E142" s="24">
        <v>0</v>
      </c>
    </row>
    <row r="143" spans="2:5">
      <c r="B143" s="35">
        <v>1986</v>
      </c>
      <c r="C143" s="36" t="s">
        <v>15</v>
      </c>
      <c r="D143" s="23">
        <v>23.4</v>
      </c>
      <c r="E143" s="24">
        <v>4</v>
      </c>
    </row>
    <row r="144" spans="2:5">
      <c r="B144" s="35">
        <v>1986</v>
      </c>
      <c r="C144" s="36" t="s">
        <v>16</v>
      </c>
      <c r="D144" s="23">
        <v>26.2</v>
      </c>
      <c r="E144" s="24">
        <v>19</v>
      </c>
    </row>
    <row r="145" spans="2:5">
      <c r="B145" s="35">
        <v>1986</v>
      </c>
      <c r="C145" s="36" t="s">
        <v>17</v>
      </c>
      <c r="D145" s="23">
        <v>23.3</v>
      </c>
      <c r="E145" s="24">
        <v>4</v>
      </c>
    </row>
    <row r="146" spans="2:5">
      <c r="B146" s="35">
        <v>1986</v>
      </c>
      <c r="C146" s="36" t="s">
        <v>18</v>
      </c>
      <c r="D146" s="23">
        <v>16.600000000000001</v>
      </c>
      <c r="E146" s="24">
        <v>0</v>
      </c>
    </row>
    <row r="147" spans="2:5">
      <c r="B147" s="35">
        <v>1986</v>
      </c>
      <c r="C147" s="36" t="s">
        <v>19</v>
      </c>
      <c r="D147" s="23">
        <v>11.5</v>
      </c>
      <c r="E147" s="24">
        <v>0</v>
      </c>
    </row>
    <row r="148" spans="2:5">
      <c r="B148" s="35">
        <v>1986</v>
      </c>
      <c r="C148" s="36" t="s">
        <v>20</v>
      </c>
      <c r="D148" s="23">
        <v>8</v>
      </c>
      <c r="E148" s="24">
        <v>0</v>
      </c>
    </row>
    <row r="149" spans="2:5">
      <c r="B149" s="35">
        <v>1987</v>
      </c>
      <c r="C149" s="36" t="s">
        <v>9</v>
      </c>
      <c r="D149" s="23">
        <v>5.4</v>
      </c>
      <c r="E149" s="24">
        <v>0</v>
      </c>
    </row>
    <row r="150" spans="2:5">
      <c r="B150" s="35">
        <v>1987</v>
      </c>
      <c r="C150" s="36" t="s">
        <v>10</v>
      </c>
      <c r="D150" s="23">
        <v>6.3</v>
      </c>
      <c r="E150" s="24">
        <v>0</v>
      </c>
    </row>
    <row r="151" spans="2:5">
      <c r="B151" s="35">
        <v>1987</v>
      </c>
      <c r="C151" s="36" t="s">
        <v>11</v>
      </c>
      <c r="D151" s="23">
        <v>9</v>
      </c>
      <c r="E151" s="24">
        <v>0</v>
      </c>
    </row>
    <row r="152" spans="2:5">
      <c r="B152" s="35">
        <v>1987</v>
      </c>
      <c r="C152" s="36" t="s">
        <v>12</v>
      </c>
      <c r="D152" s="23">
        <v>13.4</v>
      </c>
      <c r="E152" s="24">
        <v>0</v>
      </c>
    </row>
    <row r="153" spans="2:5">
      <c r="B153" s="35">
        <v>1987</v>
      </c>
      <c r="C153" s="36" t="s">
        <v>13</v>
      </c>
      <c r="D153" s="23">
        <v>18.600000000000001</v>
      </c>
      <c r="E153" s="24">
        <v>0</v>
      </c>
    </row>
    <row r="154" spans="2:5">
      <c r="B154" s="35">
        <v>1987</v>
      </c>
      <c r="C154" s="36" t="s">
        <v>14</v>
      </c>
      <c r="D154" s="23">
        <v>21</v>
      </c>
      <c r="E154" s="24">
        <v>2</v>
      </c>
    </row>
    <row r="155" spans="2:5">
      <c r="B155" s="35">
        <v>1987</v>
      </c>
      <c r="C155" s="36" t="s">
        <v>15</v>
      </c>
      <c r="D155" s="23">
        <v>26.2</v>
      </c>
      <c r="E155" s="24">
        <v>19</v>
      </c>
    </row>
    <row r="156" spans="2:5">
      <c r="B156" s="35">
        <v>1987</v>
      </c>
      <c r="C156" s="36" t="s">
        <v>16</v>
      </c>
      <c r="D156" s="23">
        <v>26.5</v>
      </c>
      <c r="E156" s="24">
        <v>19</v>
      </c>
    </row>
    <row r="157" spans="2:5">
      <c r="B157" s="35">
        <v>1987</v>
      </c>
      <c r="C157" s="36" t="s">
        <v>17</v>
      </c>
      <c r="D157" s="23">
        <v>22.5</v>
      </c>
      <c r="E157" s="24">
        <v>3</v>
      </c>
    </row>
    <row r="158" spans="2:5">
      <c r="B158" s="35">
        <v>1987</v>
      </c>
      <c r="C158" s="36" t="s">
        <v>18</v>
      </c>
      <c r="D158" s="23">
        <v>18.3</v>
      </c>
      <c r="E158" s="24">
        <v>0</v>
      </c>
    </row>
    <row r="159" spans="2:5">
      <c r="B159" s="35">
        <v>1987</v>
      </c>
      <c r="C159" s="36" t="s">
        <v>19</v>
      </c>
      <c r="D159" s="23">
        <v>12.4</v>
      </c>
      <c r="E159" s="24">
        <v>0</v>
      </c>
    </row>
    <row r="160" spans="2:5">
      <c r="B160" s="35">
        <v>1987</v>
      </c>
      <c r="C160" s="36" t="s">
        <v>20</v>
      </c>
      <c r="D160" s="23">
        <v>7.6</v>
      </c>
      <c r="E160" s="24">
        <v>0</v>
      </c>
    </row>
    <row r="161" spans="2:5">
      <c r="B161" s="35">
        <v>1988</v>
      </c>
      <c r="C161" s="36" t="s">
        <v>9</v>
      </c>
      <c r="D161" s="23">
        <v>7.2</v>
      </c>
      <c r="E161" s="24">
        <v>0</v>
      </c>
    </row>
    <row r="162" spans="2:5">
      <c r="B162" s="35">
        <v>1988</v>
      </c>
      <c r="C162" s="36" t="s">
        <v>10</v>
      </c>
      <c r="D162" s="23">
        <v>4.4000000000000004</v>
      </c>
      <c r="E162" s="24">
        <v>0</v>
      </c>
    </row>
    <row r="163" spans="2:5">
      <c r="B163" s="35">
        <v>1988</v>
      </c>
      <c r="C163" s="36" t="s">
        <v>11</v>
      </c>
      <c r="D163" s="23">
        <v>8.1</v>
      </c>
      <c r="E163" s="24">
        <v>0</v>
      </c>
    </row>
    <row r="164" spans="2:5">
      <c r="B164" s="35">
        <v>1988</v>
      </c>
      <c r="C164" s="36" t="s">
        <v>12</v>
      </c>
      <c r="D164" s="23">
        <v>13.8</v>
      </c>
      <c r="E164" s="24">
        <v>0</v>
      </c>
    </row>
    <row r="165" spans="2:5">
      <c r="B165" s="35">
        <v>1988</v>
      </c>
      <c r="C165" s="36" t="s">
        <v>13</v>
      </c>
      <c r="D165" s="23">
        <v>17.600000000000001</v>
      </c>
      <c r="E165" s="24">
        <v>1</v>
      </c>
    </row>
    <row r="166" spans="2:5">
      <c r="B166" s="35">
        <v>1988</v>
      </c>
      <c r="C166" s="36" t="s">
        <v>14</v>
      </c>
      <c r="D166" s="23">
        <v>21.6</v>
      </c>
      <c r="E166" s="24">
        <v>0</v>
      </c>
    </row>
    <row r="167" spans="2:5">
      <c r="B167" s="35">
        <v>1988</v>
      </c>
      <c r="C167" s="36" t="s">
        <v>15</v>
      </c>
      <c r="D167" s="23">
        <v>21.7</v>
      </c>
      <c r="E167" s="24">
        <v>0</v>
      </c>
    </row>
    <row r="168" spans="2:5">
      <c r="B168" s="35">
        <v>1988</v>
      </c>
      <c r="C168" s="36" t="s">
        <v>16</v>
      </c>
      <c r="D168" s="23">
        <v>26.3</v>
      </c>
      <c r="E168" s="24">
        <v>13</v>
      </c>
    </row>
    <row r="169" spans="2:5">
      <c r="B169" s="35">
        <v>1988</v>
      </c>
      <c r="C169" s="36" t="s">
        <v>17</v>
      </c>
      <c r="D169" s="23">
        <v>22.5</v>
      </c>
      <c r="E169" s="24">
        <v>1</v>
      </c>
    </row>
    <row r="170" spans="2:5">
      <c r="B170" s="35">
        <v>1988</v>
      </c>
      <c r="C170" s="36" t="s">
        <v>18</v>
      </c>
      <c r="D170" s="23">
        <v>16.8</v>
      </c>
      <c r="E170" s="24">
        <v>0</v>
      </c>
    </row>
    <row r="171" spans="2:5">
      <c r="B171" s="35">
        <v>1988</v>
      </c>
      <c r="C171" s="36" t="s">
        <v>19</v>
      </c>
      <c r="D171" s="23">
        <v>11.3</v>
      </c>
      <c r="E171" s="24">
        <v>0</v>
      </c>
    </row>
    <row r="172" spans="2:5">
      <c r="B172" s="35">
        <v>1988</v>
      </c>
      <c r="C172" s="36" t="s">
        <v>20</v>
      </c>
      <c r="D172" s="23">
        <v>7.8</v>
      </c>
      <c r="E172" s="24">
        <v>0</v>
      </c>
    </row>
    <row r="173" spans="2:5">
      <c r="B173" s="35">
        <v>1989</v>
      </c>
      <c r="C173" s="36" t="s">
        <v>9</v>
      </c>
      <c r="D173" s="23">
        <v>7.7</v>
      </c>
      <c r="E173" s="24">
        <v>0</v>
      </c>
    </row>
    <row r="174" spans="2:5">
      <c r="B174" s="35">
        <v>1989</v>
      </c>
      <c r="C174" s="36" t="s">
        <v>10</v>
      </c>
      <c r="D174" s="23">
        <v>7.1</v>
      </c>
      <c r="E174" s="24">
        <v>0</v>
      </c>
    </row>
    <row r="175" spans="2:5">
      <c r="B175" s="35">
        <v>1989</v>
      </c>
      <c r="C175" s="36" t="s">
        <v>11</v>
      </c>
      <c r="D175" s="23">
        <v>9.1999999999999993</v>
      </c>
      <c r="E175" s="24">
        <v>0</v>
      </c>
    </row>
    <row r="176" spans="2:5">
      <c r="B176" s="35">
        <v>1989</v>
      </c>
      <c r="C176" s="36" t="s">
        <v>12</v>
      </c>
      <c r="D176" s="23">
        <v>15.1</v>
      </c>
      <c r="E176" s="24">
        <v>0</v>
      </c>
    </row>
    <row r="177" spans="2:5">
      <c r="B177" s="35">
        <v>1989</v>
      </c>
      <c r="C177" s="36" t="s">
        <v>13</v>
      </c>
      <c r="D177" s="23">
        <v>17.2</v>
      </c>
      <c r="E177" s="24">
        <v>0</v>
      </c>
    </row>
    <row r="178" spans="2:5">
      <c r="B178" s="35">
        <v>1989</v>
      </c>
      <c r="C178" s="36" t="s">
        <v>14</v>
      </c>
      <c r="D178" s="23">
        <v>19.899999999999999</v>
      </c>
      <c r="E178" s="24">
        <v>1</v>
      </c>
    </row>
    <row r="179" spans="2:5">
      <c r="B179" s="35">
        <v>1989</v>
      </c>
      <c r="C179" s="36" t="s">
        <v>15</v>
      </c>
      <c r="D179" s="23">
        <v>23.5</v>
      </c>
      <c r="E179" s="24">
        <v>7</v>
      </c>
    </row>
    <row r="180" spans="2:5">
      <c r="B180" s="35">
        <v>1989</v>
      </c>
      <c r="C180" s="36" t="s">
        <v>16</v>
      </c>
      <c r="D180" s="23">
        <v>26.5</v>
      </c>
      <c r="E180" s="24">
        <v>21</v>
      </c>
    </row>
    <row r="181" spans="2:5">
      <c r="B181" s="35">
        <v>1989</v>
      </c>
      <c r="C181" s="36" t="s">
        <v>17</v>
      </c>
      <c r="D181" s="23">
        <v>24.8</v>
      </c>
      <c r="E181" s="24">
        <v>10</v>
      </c>
    </row>
    <row r="182" spans="2:5">
      <c r="B182" s="35">
        <v>1989</v>
      </c>
      <c r="C182" s="36" t="s">
        <v>18</v>
      </c>
      <c r="D182" s="23">
        <v>17</v>
      </c>
      <c r="E182" s="24">
        <v>0</v>
      </c>
    </row>
    <row r="183" spans="2:5">
      <c r="B183" s="35">
        <v>1989</v>
      </c>
      <c r="C183" s="36" t="s">
        <v>19</v>
      </c>
      <c r="D183" s="23">
        <v>13.9</v>
      </c>
      <c r="E183" s="24">
        <v>0</v>
      </c>
    </row>
    <row r="184" spans="2:5">
      <c r="B184" s="35">
        <v>1989</v>
      </c>
      <c r="C184" s="36" t="s">
        <v>20</v>
      </c>
      <c r="D184" s="23">
        <v>8.4</v>
      </c>
      <c r="E184" s="24">
        <v>0</v>
      </c>
    </row>
    <row r="185" spans="2:5">
      <c r="B185" s="35">
        <v>1990</v>
      </c>
      <c r="C185" s="36" t="s">
        <v>9</v>
      </c>
      <c r="D185" s="23">
        <v>5</v>
      </c>
      <c r="E185" s="24">
        <v>0</v>
      </c>
    </row>
    <row r="186" spans="2:5">
      <c r="B186" s="35">
        <v>1990</v>
      </c>
      <c r="C186" s="36" t="s">
        <v>10</v>
      </c>
      <c r="D186" s="23">
        <v>7.4</v>
      </c>
      <c r="E186" s="24">
        <v>0</v>
      </c>
    </row>
    <row r="187" spans="2:5">
      <c r="B187" s="35">
        <v>1990</v>
      </c>
      <c r="C187" s="36" t="s">
        <v>11</v>
      </c>
      <c r="D187" s="23">
        <v>10.4</v>
      </c>
      <c r="E187" s="24">
        <v>0</v>
      </c>
    </row>
    <row r="188" spans="2:5">
      <c r="B188" s="35">
        <v>1990</v>
      </c>
      <c r="C188" s="36" t="s">
        <v>12</v>
      </c>
      <c r="D188" s="23">
        <v>14.3</v>
      </c>
      <c r="E188" s="24">
        <v>0</v>
      </c>
    </row>
    <row r="189" spans="2:5">
      <c r="B189" s="35">
        <v>1990</v>
      </c>
      <c r="C189" s="36" t="s">
        <v>13</v>
      </c>
      <c r="D189" s="23">
        <v>18.7</v>
      </c>
      <c r="E189" s="24">
        <v>0</v>
      </c>
    </row>
    <row r="190" spans="2:5">
      <c r="B190" s="35">
        <v>1990</v>
      </c>
      <c r="C190" s="36" t="s">
        <v>14</v>
      </c>
      <c r="D190" s="23">
        <v>22.8</v>
      </c>
      <c r="E190" s="24">
        <v>1</v>
      </c>
    </row>
    <row r="191" spans="2:5">
      <c r="B191" s="35">
        <v>1990</v>
      </c>
      <c r="C191" s="36" t="s">
        <v>15</v>
      </c>
      <c r="D191" s="23">
        <v>25</v>
      </c>
      <c r="E191" s="24">
        <v>14</v>
      </c>
    </row>
    <row r="192" spans="2:5">
      <c r="B192" s="35">
        <v>1990</v>
      </c>
      <c r="C192" s="36" t="s">
        <v>16</v>
      </c>
      <c r="D192" s="23">
        <v>27.9</v>
      </c>
      <c r="E192" s="24">
        <v>27</v>
      </c>
    </row>
    <row r="193" spans="2:5">
      <c r="B193" s="35">
        <v>1990</v>
      </c>
      <c r="C193" s="36" t="s">
        <v>17</v>
      </c>
      <c r="D193" s="23">
        <v>24.5</v>
      </c>
      <c r="E193" s="24">
        <v>10</v>
      </c>
    </row>
    <row r="194" spans="2:5">
      <c r="B194" s="35">
        <v>1990</v>
      </c>
      <c r="C194" s="36" t="s">
        <v>18</v>
      </c>
      <c r="D194" s="23">
        <v>18.7</v>
      </c>
      <c r="E194" s="24">
        <v>0</v>
      </c>
    </row>
    <row r="195" spans="2:5">
      <c r="B195" s="35">
        <v>1990</v>
      </c>
      <c r="C195" s="36" t="s">
        <v>19</v>
      </c>
      <c r="D195" s="23">
        <v>14.9</v>
      </c>
      <c r="E195" s="24">
        <v>0</v>
      </c>
    </row>
    <row r="196" spans="2:5">
      <c r="B196" s="35">
        <v>1990</v>
      </c>
      <c r="C196" s="36" t="s">
        <v>20</v>
      </c>
      <c r="D196" s="23">
        <v>9.6999999999999993</v>
      </c>
      <c r="E196" s="24">
        <v>0</v>
      </c>
    </row>
    <row r="197" spans="2:5">
      <c r="B197" s="35">
        <v>1991</v>
      </c>
      <c r="C197" s="36" t="s">
        <v>9</v>
      </c>
      <c r="D197" s="23">
        <v>6</v>
      </c>
      <c r="E197" s="24">
        <v>0</v>
      </c>
    </row>
    <row r="198" spans="2:5">
      <c r="B198" s="35">
        <v>1991</v>
      </c>
      <c r="C198" s="36" t="s">
        <v>10</v>
      </c>
      <c r="D198" s="23">
        <v>6.4</v>
      </c>
      <c r="E198" s="24">
        <v>0</v>
      </c>
    </row>
    <row r="199" spans="2:5">
      <c r="B199" s="35">
        <v>1991</v>
      </c>
      <c r="C199" s="36" t="s">
        <v>11</v>
      </c>
      <c r="D199" s="23">
        <v>9.1</v>
      </c>
      <c r="E199" s="24">
        <v>0</v>
      </c>
    </row>
    <row r="200" spans="2:5">
      <c r="B200" s="35">
        <v>1991</v>
      </c>
      <c r="C200" s="36" t="s">
        <v>12</v>
      </c>
      <c r="D200" s="23">
        <v>14.8</v>
      </c>
      <c r="E200" s="24">
        <v>0</v>
      </c>
    </row>
    <row r="201" spans="2:5">
      <c r="B201" s="35">
        <v>1991</v>
      </c>
      <c r="C201" s="36" t="s">
        <v>13</v>
      </c>
      <c r="D201" s="23">
        <v>18.2</v>
      </c>
      <c r="E201" s="24">
        <v>0</v>
      </c>
    </row>
    <row r="202" spans="2:5">
      <c r="B202" s="35">
        <v>1991</v>
      </c>
      <c r="C202" s="36" t="s">
        <v>14</v>
      </c>
      <c r="D202" s="23">
        <v>22.8</v>
      </c>
      <c r="E202" s="24">
        <v>4</v>
      </c>
    </row>
    <row r="203" spans="2:5">
      <c r="B203" s="35">
        <v>1991</v>
      </c>
      <c r="C203" s="36" t="s">
        <v>15</v>
      </c>
      <c r="D203" s="23">
        <v>25.8</v>
      </c>
      <c r="E203" s="24">
        <v>15</v>
      </c>
    </row>
    <row r="204" spans="2:5">
      <c r="B204" s="35">
        <v>1991</v>
      </c>
      <c r="C204" s="36" t="s">
        <v>16</v>
      </c>
      <c r="D204" s="23">
        <v>24.9</v>
      </c>
      <c r="E204" s="24">
        <v>11</v>
      </c>
    </row>
    <row r="205" spans="2:5">
      <c r="B205" s="35">
        <v>1991</v>
      </c>
      <c r="C205" s="36" t="s">
        <v>17</v>
      </c>
      <c r="D205" s="23">
        <v>23.7</v>
      </c>
      <c r="E205" s="24">
        <v>7</v>
      </c>
    </row>
    <row r="206" spans="2:5">
      <c r="B206" s="35">
        <v>1991</v>
      </c>
      <c r="C206" s="36" t="s">
        <v>18</v>
      </c>
      <c r="D206" s="23">
        <v>17.8</v>
      </c>
      <c r="E206" s="24">
        <v>0</v>
      </c>
    </row>
    <row r="207" spans="2:5">
      <c r="B207" s="35">
        <v>1991</v>
      </c>
      <c r="C207" s="36" t="s">
        <v>19</v>
      </c>
      <c r="D207" s="23">
        <v>12.5</v>
      </c>
      <c r="E207" s="24">
        <v>0</v>
      </c>
    </row>
    <row r="208" spans="2:5">
      <c r="B208" s="35">
        <v>1991</v>
      </c>
      <c r="C208" s="36" t="s">
        <v>20</v>
      </c>
      <c r="D208" s="23">
        <v>8.8000000000000007</v>
      </c>
      <c r="E208" s="24">
        <v>0</v>
      </c>
    </row>
    <row r="209" spans="2:5">
      <c r="B209" s="35">
        <v>1992</v>
      </c>
      <c r="C209" s="36" t="s">
        <v>9</v>
      </c>
      <c r="D209" s="23">
        <v>6.4</v>
      </c>
      <c r="E209" s="24">
        <v>0</v>
      </c>
    </row>
    <row r="210" spans="2:5">
      <c r="B210" s="35">
        <v>1992</v>
      </c>
      <c r="C210" s="36" t="s">
        <v>10</v>
      </c>
      <c r="D210" s="23">
        <v>6.7</v>
      </c>
      <c r="E210" s="24">
        <v>0</v>
      </c>
    </row>
    <row r="211" spans="2:5">
      <c r="B211" s="35">
        <v>1992</v>
      </c>
      <c r="C211" s="36" t="s">
        <v>11</v>
      </c>
      <c r="D211" s="23">
        <v>9.3000000000000007</v>
      </c>
      <c r="E211" s="24">
        <v>0</v>
      </c>
    </row>
    <row r="212" spans="2:5">
      <c r="B212" s="35">
        <v>1992</v>
      </c>
      <c r="C212" s="36" t="s">
        <v>12</v>
      </c>
      <c r="D212" s="23">
        <v>14.9</v>
      </c>
      <c r="E212" s="24">
        <v>0</v>
      </c>
    </row>
    <row r="213" spans="2:5">
      <c r="B213" s="35">
        <v>1992</v>
      </c>
      <c r="C213" s="36" t="s">
        <v>13</v>
      </c>
      <c r="D213" s="23">
        <v>17</v>
      </c>
      <c r="E213" s="24">
        <v>0</v>
      </c>
    </row>
    <row r="214" spans="2:5">
      <c r="B214" s="35">
        <v>1992</v>
      </c>
      <c r="C214" s="36" t="s">
        <v>14</v>
      </c>
      <c r="D214" s="23">
        <v>19.899999999999999</v>
      </c>
      <c r="E214" s="24">
        <v>0</v>
      </c>
    </row>
    <row r="215" spans="2:5">
      <c r="B215" s="35">
        <v>1992</v>
      </c>
      <c r="C215" s="36" t="s">
        <v>15</v>
      </c>
      <c r="D215" s="23">
        <v>24.7</v>
      </c>
      <c r="E215" s="24">
        <v>14</v>
      </c>
    </row>
    <row r="216" spans="2:5">
      <c r="B216" s="35">
        <v>1992</v>
      </c>
      <c r="C216" s="36" t="s">
        <v>16</v>
      </c>
      <c r="D216" s="23">
        <v>26.5</v>
      </c>
      <c r="E216" s="24">
        <v>24</v>
      </c>
    </row>
    <row r="217" spans="2:5">
      <c r="B217" s="35">
        <v>1992</v>
      </c>
      <c r="C217" s="36" t="s">
        <v>17</v>
      </c>
      <c r="D217" s="23">
        <v>22.7</v>
      </c>
      <c r="E217" s="24">
        <v>7</v>
      </c>
    </row>
    <row r="218" spans="2:5">
      <c r="B218" s="35">
        <v>1992</v>
      </c>
      <c r="C218" s="36" t="s">
        <v>18</v>
      </c>
      <c r="D218" s="23">
        <v>17</v>
      </c>
      <c r="E218" s="24">
        <v>0</v>
      </c>
    </row>
    <row r="219" spans="2:5">
      <c r="B219" s="35">
        <v>1992</v>
      </c>
      <c r="C219" s="36" t="s">
        <v>19</v>
      </c>
      <c r="D219" s="23">
        <v>13</v>
      </c>
      <c r="E219" s="24">
        <v>0</v>
      </c>
    </row>
    <row r="220" spans="2:5">
      <c r="B220" s="35">
        <v>1992</v>
      </c>
      <c r="C220" s="36" t="s">
        <v>20</v>
      </c>
      <c r="D220" s="23">
        <v>9.1999999999999993</v>
      </c>
      <c r="E220" s="24">
        <v>0</v>
      </c>
    </row>
    <row r="221" spans="2:5">
      <c r="B221" s="35">
        <v>1993</v>
      </c>
      <c r="C221" s="36" t="s">
        <v>9</v>
      </c>
      <c r="D221" s="23">
        <v>5.7</v>
      </c>
      <c r="E221" s="24">
        <v>0</v>
      </c>
    </row>
    <row r="222" spans="2:5">
      <c r="B222" s="35">
        <v>1993</v>
      </c>
      <c r="C222" s="36" t="s">
        <v>10</v>
      </c>
      <c r="D222" s="23">
        <v>7.4</v>
      </c>
      <c r="E222" s="24">
        <v>0</v>
      </c>
    </row>
    <row r="223" spans="2:5">
      <c r="B223" s="35">
        <v>1993</v>
      </c>
      <c r="C223" s="36" t="s">
        <v>11</v>
      </c>
      <c r="D223" s="23">
        <v>8.1</v>
      </c>
      <c r="E223" s="24">
        <v>0</v>
      </c>
    </row>
    <row r="224" spans="2:5">
      <c r="B224" s="35">
        <v>1993</v>
      </c>
      <c r="C224" s="36" t="s">
        <v>12</v>
      </c>
      <c r="D224" s="23">
        <v>12.7</v>
      </c>
      <c r="E224" s="24">
        <v>0</v>
      </c>
    </row>
    <row r="225" spans="2:5">
      <c r="B225" s="35">
        <v>1993</v>
      </c>
      <c r="C225" s="36" t="s">
        <v>13</v>
      </c>
      <c r="D225" s="23">
        <v>17.3</v>
      </c>
      <c r="E225" s="24">
        <v>0</v>
      </c>
    </row>
    <row r="226" spans="2:5">
      <c r="B226" s="35">
        <v>1993</v>
      </c>
      <c r="C226" s="36" t="s">
        <v>14</v>
      </c>
      <c r="D226" s="23">
        <v>21.2</v>
      </c>
      <c r="E226" s="24">
        <v>1</v>
      </c>
    </row>
    <row r="227" spans="2:5">
      <c r="B227" s="35">
        <v>1993</v>
      </c>
      <c r="C227" s="36" t="s">
        <v>15</v>
      </c>
      <c r="D227" s="23">
        <v>22</v>
      </c>
      <c r="E227" s="24">
        <v>4</v>
      </c>
    </row>
    <row r="228" spans="2:5">
      <c r="B228" s="35">
        <v>1993</v>
      </c>
      <c r="C228" s="36" t="s">
        <v>16</v>
      </c>
      <c r="D228" s="23">
        <v>24.6</v>
      </c>
      <c r="E228" s="24">
        <v>12</v>
      </c>
    </row>
    <row r="229" spans="2:5">
      <c r="B229" s="35">
        <v>1993</v>
      </c>
      <c r="C229" s="36" t="s">
        <v>17</v>
      </c>
      <c r="D229" s="23">
        <v>22.5</v>
      </c>
      <c r="E229" s="24">
        <v>2</v>
      </c>
    </row>
    <row r="230" spans="2:5">
      <c r="B230" s="35">
        <v>1993</v>
      </c>
      <c r="C230" s="36" t="s">
        <v>18</v>
      </c>
      <c r="D230" s="23">
        <v>17.100000000000001</v>
      </c>
      <c r="E230" s="24">
        <v>0</v>
      </c>
    </row>
    <row r="231" spans="2:5">
      <c r="B231" s="35">
        <v>1993</v>
      </c>
      <c r="C231" s="36" t="s">
        <v>19</v>
      </c>
      <c r="D231" s="23">
        <v>13.9</v>
      </c>
      <c r="E231" s="24">
        <v>0</v>
      </c>
    </row>
    <row r="232" spans="2:5">
      <c r="B232" s="35">
        <v>1993</v>
      </c>
      <c r="C232" s="36" t="s">
        <v>20</v>
      </c>
      <c r="D232" s="23">
        <v>8.5</v>
      </c>
      <c r="E232" s="24">
        <v>0</v>
      </c>
    </row>
    <row r="233" spans="2:5">
      <c r="B233" s="35">
        <v>1994</v>
      </c>
      <c r="C233" s="36" t="s">
        <v>9</v>
      </c>
      <c r="D233" s="23">
        <v>5.3</v>
      </c>
      <c r="E233" s="24">
        <v>0</v>
      </c>
    </row>
    <row r="234" spans="2:5">
      <c r="B234" s="35">
        <v>1994</v>
      </c>
      <c r="C234" s="36" t="s">
        <v>10</v>
      </c>
      <c r="D234" s="23">
        <v>6.3</v>
      </c>
      <c r="E234" s="24">
        <v>0</v>
      </c>
    </row>
    <row r="235" spans="2:5">
      <c r="B235" s="35">
        <v>1994</v>
      </c>
      <c r="C235" s="36" t="s">
        <v>11</v>
      </c>
      <c r="D235" s="23">
        <v>7.5</v>
      </c>
      <c r="E235" s="24">
        <v>0</v>
      </c>
    </row>
    <row r="236" spans="2:5">
      <c r="B236" s="35">
        <v>1994</v>
      </c>
      <c r="C236" s="36" t="s">
        <v>12</v>
      </c>
      <c r="D236" s="23">
        <v>15.2</v>
      </c>
      <c r="E236" s="24">
        <v>0</v>
      </c>
    </row>
    <row r="237" spans="2:5">
      <c r="B237" s="35">
        <v>1994</v>
      </c>
      <c r="C237" s="36" t="s">
        <v>13</v>
      </c>
      <c r="D237" s="23">
        <v>19</v>
      </c>
      <c r="E237" s="24">
        <v>0</v>
      </c>
    </row>
    <row r="238" spans="2:5">
      <c r="B238" s="35">
        <v>1994</v>
      </c>
      <c r="C238" s="36" t="s">
        <v>14</v>
      </c>
      <c r="D238" s="23">
        <v>21.8</v>
      </c>
      <c r="E238" s="24">
        <v>0</v>
      </c>
    </row>
    <row r="239" spans="2:5">
      <c r="B239" s="35">
        <v>1994</v>
      </c>
      <c r="C239" s="36" t="s">
        <v>15</v>
      </c>
      <c r="D239" s="23">
        <v>27.5</v>
      </c>
      <c r="E239" s="24">
        <v>22</v>
      </c>
    </row>
    <row r="240" spans="2:5">
      <c r="B240" s="35">
        <v>1994</v>
      </c>
      <c r="C240" s="36" t="s">
        <v>16</v>
      </c>
      <c r="D240" s="23">
        <v>28.4</v>
      </c>
      <c r="E240" s="24">
        <v>28</v>
      </c>
    </row>
    <row r="241" spans="2:5">
      <c r="B241" s="35">
        <v>1994</v>
      </c>
      <c r="C241" s="36" t="s">
        <v>17</v>
      </c>
      <c r="D241" s="23">
        <v>24.5</v>
      </c>
      <c r="E241" s="24">
        <v>12</v>
      </c>
    </row>
    <row r="242" spans="2:5">
      <c r="B242" s="35">
        <v>1994</v>
      </c>
      <c r="C242" s="36" t="s">
        <v>18</v>
      </c>
      <c r="D242" s="23">
        <v>19.7</v>
      </c>
      <c r="E242" s="24">
        <v>0</v>
      </c>
    </row>
    <row r="243" spans="2:5">
      <c r="B243" s="35">
        <v>1994</v>
      </c>
      <c r="C243" s="36" t="s">
        <v>19</v>
      </c>
      <c r="D243" s="23">
        <v>13</v>
      </c>
      <c r="E243" s="24">
        <v>0</v>
      </c>
    </row>
    <row r="244" spans="2:5">
      <c r="B244" s="35">
        <v>1994</v>
      </c>
      <c r="C244" s="36" t="s">
        <v>20</v>
      </c>
      <c r="D244" s="23">
        <v>8.6999999999999993</v>
      </c>
      <c r="E244" s="24">
        <v>0</v>
      </c>
    </row>
    <row r="245" spans="2:5">
      <c r="B245" s="35">
        <v>1995</v>
      </c>
      <c r="C245" s="36" t="s">
        <v>9</v>
      </c>
      <c r="D245" s="23">
        <v>5.9</v>
      </c>
      <c r="E245" s="24">
        <v>0</v>
      </c>
    </row>
    <row r="246" spans="2:5">
      <c r="B246" s="35">
        <v>1995</v>
      </c>
      <c r="C246" s="36" t="s">
        <v>10</v>
      </c>
      <c r="D246" s="23">
        <v>6</v>
      </c>
      <c r="E246" s="24">
        <v>0</v>
      </c>
    </row>
    <row r="247" spans="2:5">
      <c r="B247" s="35">
        <v>1995</v>
      </c>
      <c r="C247" s="36" t="s">
        <v>11</v>
      </c>
      <c r="D247" s="23">
        <v>8.6</v>
      </c>
      <c r="E247" s="24">
        <v>0</v>
      </c>
    </row>
    <row r="248" spans="2:5">
      <c r="B248" s="35">
        <v>1995</v>
      </c>
      <c r="C248" s="36" t="s">
        <v>12</v>
      </c>
      <c r="D248" s="23">
        <v>14.6</v>
      </c>
      <c r="E248" s="24">
        <v>0</v>
      </c>
    </row>
    <row r="249" spans="2:5">
      <c r="B249" s="35">
        <v>1995</v>
      </c>
      <c r="C249" s="36" t="s">
        <v>13</v>
      </c>
      <c r="D249" s="23">
        <v>18.7</v>
      </c>
      <c r="E249" s="24">
        <v>0</v>
      </c>
    </row>
    <row r="250" spans="2:5">
      <c r="B250" s="35">
        <v>1995</v>
      </c>
      <c r="C250" s="36" t="s">
        <v>14</v>
      </c>
      <c r="D250" s="23">
        <v>20.100000000000001</v>
      </c>
      <c r="E250" s="24">
        <v>0</v>
      </c>
    </row>
    <row r="251" spans="2:5">
      <c r="B251" s="35">
        <v>1995</v>
      </c>
      <c r="C251" s="36" t="s">
        <v>15</v>
      </c>
      <c r="D251" s="23">
        <v>25.7</v>
      </c>
      <c r="E251" s="24">
        <v>12</v>
      </c>
    </row>
    <row r="252" spans="2:5">
      <c r="B252" s="35">
        <v>1995</v>
      </c>
      <c r="C252" s="36" t="s">
        <v>16</v>
      </c>
      <c r="D252" s="23">
        <v>28.7</v>
      </c>
      <c r="E252" s="24">
        <v>30</v>
      </c>
    </row>
    <row r="253" spans="2:5">
      <c r="B253" s="35">
        <v>1995</v>
      </c>
      <c r="C253" s="36" t="s">
        <v>17</v>
      </c>
      <c r="D253" s="23">
        <v>23.1</v>
      </c>
      <c r="E253" s="24">
        <v>4</v>
      </c>
    </row>
    <row r="254" spans="2:5">
      <c r="B254" s="35">
        <v>1995</v>
      </c>
      <c r="C254" s="36" t="s">
        <v>18</v>
      </c>
      <c r="D254" s="23">
        <v>19</v>
      </c>
      <c r="E254" s="24">
        <v>0</v>
      </c>
    </row>
    <row r="255" spans="2:5">
      <c r="B255" s="35">
        <v>1995</v>
      </c>
      <c r="C255" s="36" t="s">
        <v>19</v>
      </c>
      <c r="D255" s="23">
        <v>12.5</v>
      </c>
      <c r="E255" s="24">
        <v>0</v>
      </c>
    </row>
    <row r="256" spans="2:5">
      <c r="B256" s="35">
        <v>1995</v>
      </c>
      <c r="C256" s="36" t="s">
        <v>20</v>
      </c>
      <c r="D256" s="23">
        <v>7.5</v>
      </c>
      <c r="E256" s="24">
        <v>0</v>
      </c>
    </row>
    <row r="257" spans="2:5">
      <c r="B257" s="35">
        <v>1996</v>
      </c>
      <c r="C257" s="36" t="s">
        <v>9</v>
      </c>
      <c r="D257" s="23">
        <v>6.3</v>
      </c>
      <c r="E257" s="24">
        <v>0</v>
      </c>
    </row>
    <row r="258" spans="2:5">
      <c r="B258" s="35">
        <v>1996</v>
      </c>
      <c r="C258" s="36" t="s">
        <v>10</v>
      </c>
      <c r="D258" s="23">
        <v>5.0999999999999996</v>
      </c>
      <c r="E258" s="24">
        <v>0</v>
      </c>
    </row>
    <row r="259" spans="2:5">
      <c r="B259" s="35">
        <v>1996</v>
      </c>
      <c r="C259" s="36" t="s">
        <v>11</v>
      </c>
      <c r="D259" s="23">
        <v>8.9</v>
      </c>
      <c r="E259" s="24">
        <v>0</v>
      </c>
    </row>
    <row r="260" spans="2:5">
      <c r="B260" s="35">
        <v>1996</v>
      </c>
      <c r="C260" s="36" t="s">
        <v>12</v>
      </c>
      <c r="D260" s="23">
        <v>12.1</v>
      </c>
      <c r="E260" s="24">
        <v>0</v>
      </c>
    </row>
    <row r="261" spans="2:5">
      <c r="B261" s="35">
        <v>1996</v>
      </c>
      <c r="C261" s="36" t="s">
        <v>13</v>
      </c>
      <c r="D261" s="23">
        <v>17.399999999999999</v>
      </c>
      <c r="E261" s="24">
        <v>0</v>
      </c>
    </row>
    <row r="262" spans="2:5">
      <c r="B262" s="35">
        <v>1996</v>
      </c>
      <c r="C262" s="36" t="s">
        <v>14</v>
      </c>
      <c r="D262" s="23">
        <v>21.7</v>
      </c>
      <c r="E262" s="24">
        <v>1</v>
      </c>
    </row>
    <row r="263" spans="2:5">
      <c r="B263" s="35">
        <v>1996</v>
      </c>
      <c r="C263" s="36" t="s">
        <v>15</v>
      </c>
      <c r="D263" s="23">
        <v>25.2</v>
      </c>
      <c r="E263" s="24">
        <v>20</v>
      </c>
    </row>
    <row r="264" spans="2:5">
      <c r="B264" s="35">
        <v>1996</v>
      </c>
      <c r="C264" s="36" t="s">
        <v>16</v>
      </c>
      <c r="D264" s="23">
        <v>25.3</v>
      </c>
      <c r="E264" s="24">
        <v>15</v>
      </c>
    </row>
    <row r="265" spans="2:5">
      <c r="B265" s="35">
        <v>1996</v>
      </c>
      <c r="C265" s="36" t="s">
        <v>17</v>
      </c>
      <c r="D265" s="23">
        <v>21.8</v>
      </c>
      <c r="E265" s="24">
        <v>2</v>
      </c>
    </row>
    <row r="266" spans="2:5">
      <c r="B266" s="35">
        <v>1996</v>
      </c>
      <c r="C266" s="36" t="s">
        <v>18</v>
      </c>
      <c r="D266" s="23">
        <v>17.600000000000001</v>
      </c>
      <c r="E266" s="24">
        <v>0</v>
      </c>
    </row>
    <row r="267" spans="2:5">
      <c r="B267" s="35">
        <v>1996</v>
      </c>
      <c r="C267" s="36" t="s">
        <v>19</v>
      </c>
      <c r="D267" s="23">
        <v>12.9</v>
      </c>
      <c r="E267" s="24">
        <v>0</v>
      </c>
    </row>
    <row r="268" spans="2:5">
      <c r="B268" s="35">
        <v>1996</v>
      </c>
      <c r="C268" s="36" t="s">
        <v>20</v>
      </c>
      <c r="D268" s="23">
        <v>9</v>
      </c>
      <c r="E268" s="24">
        <v>0</v>
      </c>
    </row>
    <row r="269" spans="2:5">
      <c r="B269" s="35">
        <v>1997</v>
      </c>
      <c r="C269" s="36" t="s">
        <v>9</v>
      </c>
      <c r="D269" s="23">
        <v>6.7</v>
      </c>
      <c r="E269" s="24">
        <v>0</v>
      </c>
    </row>
    <row r="270" spans="2:5">
      <c r="B270" s="35">
        <v>1997</v>
      </c>
      <c r="C270" s="36" t="s">
        <v>10</v>
      </c>
      <c r="D270" s="23">
        <v>6.8</v>
      </c>
      <c r="E270" s="24">
        <v>0</v>
      </c>
    </row>
    <row r="271" spans="2:5">
      <c r="B271" s="35">
        <v>1997</v>
      </c>
      <c r="C271" s="36" t="s">
        <v>11</v>
      </c>
      <c r="D271" s="23">
        <v>10.3</v>
      </c>
      <c r="E271" s="24">
        <v>0</v>
      </c>
    </row>
    <row r="272" spans="2:5">
      <c r="B272" s="35">
        <v>1997</v>
      </c>
      <c r="C272" s="36" t="s">
        <v>12</v>
      </c>
      <c r="D272" s="23">
        <v>14.9</v>
      </c>
      <c r="E272" s="24">
        <v>0</v>
      </c>
    </row>
    <row r="273" spans="2:5">
      <c r="B273" s="35">
        <v>1997</v>
      </c>
      <c r="C273" s="36" t="s">
        <v>13</v>
      </c>
      <c r="D273" s="23">
        <v>18.8</v>
      </c>
      <c r="E273" s="24">
        <v>0</v>
      </c>
    </row>
    <row r="274" spans="2:5">
      <c r="B274" s="35">
        <v>1997</v>
      </c>
      <c r="C274" s="36" t="s">
        <v>14</v>
      </c>
      <c r="D274" s="23">
        <v>22.1</v>
      </c>
      <c r="E274" s="24">
        <v>2</v>
      </c>
    </row>
    <row r="275" spans="2:5">
      <c r="B275" s="35">
        <v>1997</v>
      </c>
      <c r="C275" s="36" t="s">
        <v>15</v>
      </c>
      <c r="D275" s="23">
        <v>25.6</v>
      </c>
      <c r="E275" s="24">
        <v>13</v>
      </c>
    </row>
    <row r="276" spans="2:5">
      <c r="B276" s="35">
        <v>1997</v>
      </c>
      <c r="C276" s="36" t="s">
        <v>16</v>
      </c>
      <c r="D276" s="23">
        <v>26.4</v>
      </c>
      <c r="E276" s="24">
        <v>18</v>
      </c>
    </row>
    <row r="277" spans="2:5">
      <c r="B277" s="35">
        <v>1997</v>
      </c>
      <c r="C277" s="36" t="s">
        <v>17</v>
      </c>
      <c r="D277" s="23">
        <v>22.8</v>
      </c>
      <c r="E277" s="24">
        <v>8</v>
      </c>
    </row>
    <row r="278" spans="2:5">
      <c r="B278" s="35">
        <v>1997</v>
      </c>
      <c r="C278" s="36" t="s">
        <v>18</v>
      </c>
      <c r="D278" s="23">
        <v>18.5</v>
      </c>
      <c r="E278" s="24">
        <v>0</v>
      </c>
    </row>
    <row r="279" spans="2:5">
      <c r="B279" s="35">
        <v>1997</v>
      </c>
      <c r="C279" s="36" t="s">
        <v>19</v>
      </c>
      <c r="D279" s="23">
        <v>14.2</v>
      </c>
      <c r="E279" s="24">
        <v>0</v>
      </c>
    </row>
    <row r="280" spans="2:5">
      <c r="B280" s="35">
        <v>1997</v>
      </c>
      <c r="C280" s="36" t="s">
        <v>20</v>
      </c>
      <c r="D280" s="23">
        <v>9</v>
      </c>
      <c r="E280" s="24">
        <v>0</v>
      </c>
    </row>
    <row r="281" spans="2:5">
      <c r="B281" s="35">
        <v>1998</v>
      </c>
      <c r="C281" s="36" t="s">
        <v>9</v>
      </c>
      <c r="D281" s="23">
        <v>5.3</v>
      </c>
      <c r="E281" s="24">
        <v>0</v>
      </c>
    </row>
    <row r="282" spans="2:5">
      <c r="B282" s="35">
        <v>1998</v>
      </c>
      <c r="C282" s="36" t="s">
        <v>10</v>
      </c>
      <c r="D282" s="23">
        <v>6.7</v>
      </c>
      <c r="E282" s="24">
        <v>0</v>
      </c>
    </row>
    <row r="283" spans="2:5">
      <c r="B283" s="35">
        <v>1998</v>
      </c>
      <c r="C283" s="36" t="s">
        <v>11</v>
      </c>
      <c r="D283" s="23">
        <v>9.5</v>
      </c>
      <c r="E283" s="24">
        <v>0</v>
      </c>
    </row>
    <row r="284" spans="2:5">
      <c r="B284" s="35">
        <v>1998</v>
      </c>
      <c r="C284" s="36" t="s">
        <v>12</v>
      </c>
      <c r="D284" s="23">
        <v>15.6</v>
      </c>
      <c r="E284" s="24">
        <v>0</v>
      </c>
    </row>
    <row r="285" spans="2:5">
      <c r="B285" s="35">
        <v>1998</v>
      </c>
      <c r="C285" s="36" t="s">
        <v>13</v>
      </c>
      <c r="D285" s="23">
        <v>20.100000000000001</v>
      </c>
      <c r="E285" s="24">
        <v>0</v>
      </c>
    </row>
    <row r="286" spans="2:5">
      <c r="B286" s="35">
        <v>1998</v>
      </c>
      <c r="C286" s="36" t="s">
        <v>14</v>
      </c>
      <c r="D286" s="23">
        <v>20.7</v>
      </c>
      <c r="E286" s="24">
        <v>1</v>
      </c>
    </row>
    <row r="287" spans="2:5">
      <c r="B287" s="35">
        <v>1998</v>
      </c>
      <c r="C287" s="36" t="s">
        <v>15</v>
      </c>
      <c r="D287" s="23">
        <v>24.5</v>
      </c>
      <c r="E287" s="24">
        <v>11</v>
      </c>
    </row>
    <row r="288" spans="2:5">
      <c r="B288" s="35">
        <v>1998</v>
      </c>
      <c r="C288" s="36" t="s">
        <v>16</v>
      </c>
      <c r="D288" s="23">
        <v>26.8</v>
      </c>
      <c r="E288" s="24">
        <v>22</v>
      </c>
    </row>
    <row r="289" spans="2:5">
      <c r="B289" s="35">
        <v>1998</v>
      </c>
      <c r="C289" s="36" t="s">
        <v>17</v>
      </c>
      <c r="D289" s="23">
        <v>23.9</v>
      </c>
      <c r="E289" s="24">
        <v>4</v>
      </c>
    </row>
    <row r="290" spans="2:5">
      <c r="B290" s="35">
        <v>1998</v>
      </c>
      <c r="C290" s="36" t="s">
        <v>18</v>
      </c>
      <c r="D290" s="23">
        <v>19.899999999999999</v>
      </c>
      <c r="E290" s="24">
        <v>0</v>
      </c>
    </row>
    <row r="291" spans="2:5">
      <c r="B291" s="35">
        <v>1998</v>
      </c>
      <c r="C291" s="36" t="s">
        <v>19</v>
      </c>
      <c r="D291" s="23">
        <v>13.5</v>
      </c>
      <c r="E291" s="24">
        <v>0</v>
      </c>
    </row>
    <row r="292" spans="2:5">
      <c r="B292" s="35">
        <v>1998</v>
      </c>
      <c r="C292" s="36" t="s">
        <v>20</v>
      </c>
      <c r="D292" s="23">
        <v>8.6</v>
      </c>
      <c r="E292" s="24">
        <v>0</v>
      </c>
    </row>
    <row r="293" spans="2:5">
      <c r="B293" s="35">
        <v>1999</v>
      </c>
      <c r="C293" s="36" t="s">
        <v>9</v>
      </c>
      <c r="D293" s="23">
        <v>6.2</v>
      </c>
      <c r="E293" s="24">
        <v>0</v>
      </c>
    </row>
    <row r="294" spans="2:5">
      <c r="B294" s="35">
        <v>1999</v>
      </c>
      <c r="C294" s="36" t="s">
        <v>10</v>
      </c>
      <c r="D294" s="23">
        <v>6.5</v>
      </c>
      <c r="E294" s="24">
        <v>0</v>
      </c>
    </row>
    <row r="295" spans="2:5">
      <c r="B295" s="35">
        <v>1999</v>
      </c>
      <c r="C295" s="36" t="s">
        <v>11</v>
      </c>
      <c r="D295" s="23">
        <v>9.6</v>
      </c>
      <c r="E295" s="24">
        <v>0</v>
      </c>
    </row>
    <row r="296" spans="2:5">
      <c r="B296" s="35">
        <v>1999</v>
      </c>
      <c r="C296" s="36" t="s">
        <v>12</v>
      </c>
      <c r="D296" s="23">
        <v>14.6</v>
      </c>
      <c r="E296" s="24">
        <v>0</v>
      </c>
    </row>
    <row r="297" spans="2:5">
      <c r="B297" s="35">
        <v>1999</v>
      </c>
      <c r="C297" s="36" t="s">
        <v>13</v>
      </c>
      <c r="D297" s="23">
        <v>19.600000000000001</v>
      </c>
      <c r="E297" s="24">
        <v>0</v>
      </c>
    </row>
    <row r="298" spans="2:5">
      <c r="B298" s="35">
        <v>1999</v>
      </c>
      <c r="C298" s="36" t="s">
        <v>14</v>
      </c>
      <c r="D298" s="23">
        <v>22.1</v>
      </c>
      <c r="E298" s="24">
        <v>0</v>
      </c>
    </row>
    <row r="299" spans="2:5">
      <c r="B299" s="35">
        <v>1999</v>
      </c>
      <c r="C299" s="36" t="s">
        <v>15</v>
      </c>
      <c r="D299" s="23">
        <v>25.5</v>
      </c>
      <c r="E299" s="24">
        <v>14</v>
      </c>
    </row>
    <row r="300" spans="2:5">
      <c r="B300" s="35">
        <v>1999</v>
      </c>
      <c r="C300" s="36" t="s">
        <v>16</v>
      </c>
      <c r="D300" s="23">
        <v>28</v>
      </c>
      <c r="E300" s="24">
        <v>26</v>
      </c>
    </row>
    <row r="301" spans="2:5">
      <c r="B301" s="35">
        <v>1999</v>
      </c>
      <c r="C301" s="36" t="s">
        <v>17</v>
      </c>
      <c r="D301" s="23">
        <v>25.8</v>
      </c>
      <c r="E301" s="24">
        <v>17</v>
      </c>
    </row>
    <row r="302" spans="2:5">
      <c r="B302" s="35">
        <v>1999</v>
      </c>
      <c r="C302" s="36" t="s">
        <v>18</v>
      </c>
      <c r="D302" s="23">
        <v>19.100000000000001</v>
      </c>
      <c r="E302" s="24">
        <v>0</v>
      </c>
    </row>
    <row r="303" spans="2:5">
      <c r="B303" s="35">
        <v>1999</v>
      </c>
      <c r="C303" s="36" t="s">
        <v>19</v>
      </c>
      <c r="D303" s="23">
        <v>13.9</v>
      </c>
      <c r="E303" s="24">
        <v>0</v>
      </c>
    </row>
    <row r="304" spans="2:5">
      <c r="B304" s="35">
        <v>1999</v>
      </c>
      <c r="C304" s="36" t="s">
        <v>20</v>
      </c>
      <c r="D304" s="23">
        <v>8.6</v>
      </c>
      <c r="E304" s="24">
        <v>0</v>
      </c>
    </row>
    <row r="305" spans="2:5">
      <c r="B305" s="35">
        <v>2000</v>
      </c>
      <c r="C305" s="36" t="s">
        <v>9</v>
      </c>
      <c r="D305" s="23">
        <v>7.1</v>
      </c>
      <c r="E305" s="24">
        <v>0</v>
      </c>
    </row>
    <row r="306" spans="2:5">
      <c r="B306" s="35">
        <v>2000</v>
      </c>
      <c r="C306" s="36" t="s">
        <v>10</v>
      </c>
      <c r="D306" s="23">
        <v>5.6</v>
      </c>
      <c r="E306" s="24">
        <v>0</v>
      </c>
    </row>
    <row r="307" spans="2:5">
      <c r="B307" s="35">
        <v>2000</v>
      </c>
      <c r="C307" s="36" t="s">
        <v>11</v>
      </c>
      <c r="D307" s="23">
        <v>9.1</v>
      </c>
      <c r="E307" s="24">
        <v>0</v>
      </c>
    </row>
    <row r="308" spans="2:5">
      <c r="B308" s="35">
        <v>2000</v>
      </c>
      <c r="C308" s="36" t="s">
        <v>12</v>
      </c>
      <c r="D308" s="23">
        <v>14.3</v>
      </c>
      <c r="E308" s="24">
        <v>0</v>
      </c>
    </row>
    <row r="309" spans="2:5">
      <c r="B309" s="35">
        <v>2000</v>
      </c>
      <c r="C309" s="36" t="s">
        <v>13</v>
      </c>
      <c r="D309" s="23">
        <v>18.899999999999999</v>
      </c>
      <c r="E309" s="24">
        <v>0</v>
      </c>
    </row>
    <row r="310" spans="2:5">
      <c r="B310" s="35">
        <v>2000</v>
      </c>
      <c r="C310" s="36" t="s">
        <v>14</v>
      </c>
      <c r="D310" s="23">
        <v>21.6</v>
      </c>
      <c r="E310" s="24">
        <v>0</v>
      </c>
    </row>
    <row r="311" spans="2:5">
      <c r="B311" s="35">
        <v>2000</v>
      </c>
      <c r="C311" s="36" t="s">
        <v>15</v>
      </c>
      <c r="D311" s="23">
        <v>26.7</v>
      </c>
      <c r="E311" s="24">
        <v>22</v>
      </c>
    </row>
    <row r="312" spans="2:5">
      <c r="B312" s="35">
        <v>2000</v>
      </c>
      <c r="C312" s="36" t="s">
        <v>16</v>
      </c>
      <c r="D312" s="23">
        <v>27.4</v>
      </c>
      <c r="E312" s="24">
        <v>28</v>
      </c>
    </row>
    <row r="313" spans="2:5">
      <c r="B313" s="35">
        <v>2000</v>
      </c>
      <c r="C313" s="36" t="s">
        <v>17</v>
      </c>
      <c r="D313" s="23">
        <v>24.8</v>
      </c>
      <c r="E313" s="24">
        <v>10</v>
      </c>
    </row>
    <row r="314" spans="2:5">
      <c r="B314" s="35">
        <v>2000</v>
      </c>
      <c r="C314" s="36" t="s">
        <v>18</v>
      </c>
      <c r="D314" s="23">
        <v>18.2</v>
      </c>
      <c r="E314" s="24">
        <v>0</v>
      </c>
    </row>
    <row r="315" spans="2:5">
      <c r="B315" s="35">
        <v>2000</v>
      </c>
      <c r="C315" s="36" t="s">
        <v>19</v>
      </c>
      <c r="D315" s="23">
        <v>12.8</v>
      </c>
      <c r="E315" s="24">
        <v>0</v>
      </c>
    </row>
    <row r="316" spans="2:5">
      <c r="B316" s="35">
        <v>2000</v>
      </c>
      <c r="C316" s="36" t="s">
        <v>20</v>
      </c>
      <c r="D316" s="23">
        <v>8.1</v>
      </c>
      <c r="E316" s="24">
        <v>0</v>
      </c>
    </row>
    <row r="317" spans="2:5">
      <c r="B317" s="35">
        <v>2001</v>
      </c>
      <c r="C317" s="36" t="s">
        <v>9</v>
      </c>
      <c r="D317" s="23">
        <v>4.3</v>
      </c>
      <c r="E317" s="24">
        <v>0</v>
      </c>
    </row>
    <row r="318" spans="2:5">
      <c r="B318" s="35">
        <v>2001</v>
      </c>
      <c r="C318" s="36" t="s">
        <v>10</v>
      </c>
      <c r="D318" s="23">
        <v>5.9</v>
      </c>
      <c r="E318" s="24">
        <v>0</v>
      </c>
    </row>
    <row r="319" spans="2:5">
      <c r="B319" s="35">
        <v>2001</v>
      </c>
      <c r="C319" s="36" t="s">
        <v>11</v>
      </c>
      <c r="D319" s="23">
        <v>9.4</v>
      </c>
      <c r="E319" s="24">
        <v>0</v>
      </c>
    </row>
    <row r="320" spans="2:5">
      <c r="B320" s="35">
        <v>2001</v>
      </c>
      <c r="C320" s="36" t="s">
        <v>12</v>
      </c>
      <c r="D320" s="23">
        <v>14.8</v>
      </c>
      <c r="E320" s="24">
        <v>0</v>
      </c>
    </row>
    <row r="321" spans="2:5">
      <c r="B321" s="35">
        <v>2001</v>
      </c>
      <c r="C321" s="36" t="s">
        <v>13</v>
      </c>
      <c r="D321" s="23">
        <v>18.7</v>
      </c>
      <c r="E321" s="24">
        <v>0</v>
      </c>
    </row>
    <row r="322" spans="2:5">
      <c r="B322" s="35">
        <v>2001</v>
      </c>
      <c r="C322" s="36" t="s">
        <v>14</v>
      </c>
      <c r="D322" s="23">
        <v>22.2</v>
      </c>
      <c r="E322" s="24">
        <v>6</v>
      </c>
    </row>
    <row r="323" spans="2:5">
      <c r="B323" s="35">
        <v>2001</v>
      </c>
      <c r="C323" s="36" t="s">
        <v>15</v>
      </c>
      <c r="D323" s="23">
        <v>27.5</v>
      </c>
      <c r="E323" s="24">
        <v>25</v>
      </c>
    </row>
    <row r="324" spans="2:5">
      <c r="B324" s="35">
        <v>2001</v>
      </c>
      <c r="C324" s="36" t="s">
        <v>16</v>
      </c>
      <c r="D324" s="23">
        <v>25.6</v>
      </c>
      <c r="E324" s="24">
        <v>14</v>
      </c>
    </row>
    <row r="325" spans="2:5">
      <c r="B325" s="35">
        <v>2001</v>
      </c>
      <c r="C325" s="36" t="s">
        <v>17</v>
      </c>
      <c r="D325" s="23">
        <v>22.4</v>
      </c>
      <c r="E325" s="24">
        <v>1</v>
      </c>
    </row>
    <row r="326" spans="2:5">
      <c r="B326" s="35">
        <v>2001</v>
      </c>
      <c r="C326" s="36" t="s">
        <v>18</v>
      </c>
      <c r="D326" s="23">
        <v>18.3</v>
      </c>
      <c r="E326" s="24">
        <v>0</v>
      </c>
    </row>
    <row r="327" spans="2:5">
      <c r="B327" s="35">
        <v>2001</v>
      </c>
      <c r="C327" s="36" t="s">
        <v>19</v>
      </c>
      <c r="D327" s="23">
        <v>12.5</v>
      </c>
      <c r="E327" s="24">
        <v>0</v>
      </c>
    </row>
    <row r="328" spans="2:5">
      <c r="B328" s="35">
        <v>2001</v>
      </c>
      <c r="C328" s="36" t="s">
        <v>20</v>
      </c>
      <c r="D328" s="23">
        <v>7.8</v>
      </c>
      <c r="E328" s="24">
        <v>0</v>
      </c>
    </row>
    <row r="329" spans="2:5">
      <c r="B329" s="35">
        <v>2002</v>
      </c>
      <c r="C329" s="36" t="s">
        <v>9</v>
      </c>
      <c r="D329" s="23">
        <v>7.3</v>
      </c>
      <c r="E329" s="24">
        <v>0</v>
      </c>
    </row>
    <row r="330" spans="2:5">
      <c r="B330" s="35">
        <v>2002</v>
      </c>
      <c r="C330" s="36" t="s">
        <v>10</v>
      </c>
      <c r="D330" s="23">
        <v>7.4</v>
      </c>
      <c r="E330" s="24">
        <v>0</v>
      </c>
    </row>
    <row r="331" spans="2:5">
      <c r="B331" s="35">
        <v>2002</v>
      </c>
      <c r="C331" s="36" t="s">
        <v>11</v>
      </c>
      <c r="D331" s="23">
        <v>11.8</v>
      </c>
      <c r="E331" s="24">
        <v>0</v>
      </c>
    </row>
    <row r="332" spans="2:5">
      <c r="B332" s="35">
        <v>2002</v>
      </c>
      <c r="C332" s="36" t="s">
        <v>12</v>
      </c>
      <c r="D332" s="23">
        <v>15.3</v>
      </c>
      <c r="E332" s="24">
        <v>0</v>
      </c>
    </row>
    <row r="333" spans="2:5">
      <c r="B333" s="35">
        <v>2002</v>
      </c>
      <c r="C333" s="36" t="s">
        <v>13</v>
      </c>
      <c r="D333" s="23">
        <v>17.7</v>
      </c>
      <c r="E333" s="24">
        <v>0</v>
      </c>
    </row>
    <row r="334" spans="2:5">
      <c r="B334" s="35">
        <v>2002</v>
      </c>
      <c r="C334" s="36" t="s">
        <v>14</v>
      </c>
      <c r="D334" s="23">
        <v>20.9</v>
      </c>
      <c r="E334" s="24">
        <v>3</v>
      </c>
    </row>
    <row r="335" spans="2:5">
      <c r="B335" s="35">
        <v>2002</v>
      </c>
      <c r="C335" s="36" t="s">
        <v>15</v>
      </c>
      <c r="D335" s="23">
        <v>26.9</v>
      </c>
      <c r="E335" s="24">
        <v>21</v>
      </c>
    </row>
    <row r="336" spans="2:5">
      <c r="B336" s="35">
        <v>2002</v>
      </c>
      <c r="C336" s="36" t="s">
        <v>16</v>
      </c>
      <c r="D336" s="23">
        <v>27.2</v>
      </c>
      <c r="E336" s="24">
        <v>23</v>
      </c>
    </row>
    <row r="337" spans="2:5">
      <c r="B337" s="35">
        <v>2002</v>
      </c>
      <c r="C337" s="36" t="s">
        <v>17</v>
      </c>
      <c r="D337" s="23">
        <v>22.4</v>
      </c>
      <c r="E337" s="24">
        <v>6</v>
      </c>
    </row>
    <row r="338" spans="2:5">
      <c r="B338" s="35">
        <v>2002</v>
      </c>
      <c r="C338" s="36" t="s">
        <v>18</v>
      </c>
      <c r="D338" s="23">
        <v>18.5</v>
      </c>
      <c r="E338" s="24">
        <v>0</v>
      </c>
    </row>
    <row r="339" spans="2:5">
      <c r="B339" s="35">
        <v>2002</v>
      </c>
      <c r="C339" s="36" t="s">
        <v>19</v>
      </c>
      <c r="D339" s="23">
        <v>11.3</v>
      </c>
      <c r="E339" s="24">
        <v>0</v>
      </c>
    </row>
    <row r="340" spans="2:5">
      <c r="B340" s="35">
        <v>2002</v>
      </c>
      <c r="C340" s="36" t="s">
        <v>20</v>
      </c>
      <c r="D340" s="23">
        <v>6.7</v>
      </c>
      <c r="E340" s="24">
        <v>0</v>
      </c>
    </row>
    <row r="341" spans="2:5">
      <c r="B341" s="35">
        <v>2003</v>
      </c>
      <c r="C341" s="36" t="s">
        <v>9</v>
      </c>
      <c r="D341" s="23">
        <v>5.0999999999999996</v>
      </c>
      <c r="E341" s="24">
        <v>0</v>
      </c>
    </row>
    <row r="342" spans="2:5">
      <c r="B342" s="35">
        <v>2003</v>
      </c>
      <c r="C342" s="36" t="s">
        <v>10</v>
      </c>
      <c r="D342" s="23">
        <v>5.7</v>
      </c>
      <c r="E342" s="24">
        <v>0</v>
      </c>
    </row>
    <row r="343" spans="2:5">
      <c r="B343" s="35">
        <v>2003</v>
      </c>
      <c r="C343" s="36" t="s">
        <v>11</v>
      </c>
      <c r="D343" s="23">
        <v>8.3000000000000007</v>
      </c>
      <c r="E343" s="24">
        <v>0</v>
      </c>
    </row>
    <row r="344" spans="2:5">
      <c r="B344" s="35">
        <v>2003</v>
      </c>
      <c r="C344" s="36" t="s">
        <v>12</v>
      </c>
      <c r="D344" s="23">
        <v>14.6</v>
      </c>
      <c r="E344" s="24">
        <v>0</v>
      </c>
    </row>
    <row r="345" spans="2:5">
      <c r="B345" s="35">
        <v>2003</v>
      </c>
      <c r="C345" s="36" t="s">
        <v>13</v>
      </c>
      <c r="D345" s="23">
        <v>18.2</v>
      </c>
      <c r="E345" s="24">
        <v>0</v>
      </c>
    </row>
    <row r="346" spans="2:5">
      <c r="B346" s="35">
        <v>2003</v>
      </c>
      <c r="C346" s="36" t="s">
        <v>14</v>
      </c>
      <c r="D346" s="23">
        <v>22.6</v>
      </c>
      <c r="E346" s="24">
        <v>2</v>
      </c>
    </row>
    <row r="347" spans="2:5">
      <c r="B347" s="35">
        <v>2003</v>
      </c>
      <c r="C347" s="36" t="s">
        <v>15</v>
      </c>
      <c r="D347" s="23">
        <v>22.3</v>
      </c>
      <c r="E347" s="24">
        <v>3</v>
      </c>
    </row>
    <row r="348" spans="2:5">
      <c r="B348" s="35">
        <v>2003</v>
      </c>
      <c r="C348" s="36" t="s">
        <v>16</v>
      </c>
      <c r="D348" s="23">
        <v>25.3</v>
      </c>
      <c r="E348" s="24">
        <v>18</v>
      </c>
    </row>
    <row r="349" spans="2:5">
      <c r="B349" s="35">
        <v>2003</v>
      </c>
      <c r="C349" s="36" t="s">
        <v>17</v>
      </c>
      <c r="D349" s="23">
        <v>23.6</v>
      </c>
      <c r="E349" s="24">
        <v>12</v>
      </c>
    </row>
    <row r="350" spans="2:5">
      <c r="B350" s="35">
        <v>2003</v>
      </c>
      <c r="C350" s="36" t="s">
        <v>18</v>
      </c>
      <c r="D350" s="23">
        <v>17.3</v>
      </c>
      <c r="E350" s="24">
        <v>0</v>
      </c>
    </row>
    <row r="351" spans="2:5">
      <c r="B351" s="35">
        <v>2003</v>
      </c>
      <c r="C351" s="36" t="s">
        <v>19</v>
      </c>
      <c r="D351" s="23">
        <v>14.1</v>
      </c>
      <c r="E351" s="24">
        <v>0</v>
      </c>
    </row>
    <row r="352" spans="2:5">
      <c r="B352" s="35">
        <v>2003</v>
      </c>
      <c r="C352" s="36" t="s">
        <v>20</v>
      </c>
      <c r="D352" s="23">
        <v>9</v>
      </c>
      <c r="E352" s="24">
        <v>0</v>
      </c>
    </row>
    <row r="353" spans="2:5">
      <c r="B353" s="35">
        <v>2004</v>
      </c>
      <c r="C353" s="36" t="s">
        <v>9</v>
      </c>
      <c r="D353" s="23">
        <v>5.9</v>
      </c>
      <c r="E353" s="24">
        <v>0</v>
      </c>
    </row>
    <row r="354" spans="2:5">
      <c r="B354" s="35">
        <v>2004</v>
      </c>
      <c r="C354" s="36" t="s">
        <v>10</v>
      </c>
      <c r="D354" s="23">
        <v>8.1</v>
      </c>
      <c r="E354" s="24">
        <v>0</v>
      </c>
    </row>
    <row r="355" spans="2:5">
      <c r="B355" s="35">
        <v>2004</v>
      </c>
      <c r="C355" s="36" t="s">
        <v>11</v>
      </c>
      <c r="D355" s="23">
        <v>9.1999999999999993</v>
      </c>
      <c r="E355" s="24">
        <v>0</v>
      </c>
    </row>
    <row r="356" spans="2:5">
      <c r="B356" s="35">
        <v>2004</v>
      </c>
      <c r="C356" s="36" t="s">
        <v>12</v>
      </c>
      <c r="D356" s="23">
        <v>15.8</v>
      </c>
      <c r="E356" s="24">
        <v>0</v>
      </c>
    </row>
    <row r="357" spans="2:5">
      <c r="B357" s="35">
        <v>2004</v>
      </c>
      <c r="C357" s="36" t="s">
        <v>13</v>
      </c>
      <c r="D357" s="23">
        <v>18.899999999999999</v>
      </c>
      <c r="E357" s="24">
        <v>1</v>
      </c>
    </row>
    <row r="358" spans="2:5">
      <c r="B358" s="35">
        <v>2004</v>
      </c>
      <c r="C358" s="36" t="s">
        <v>14</v>
      </c>
      <c r="D358" s="23">
        <v>23</v>
      </c>
      <c r="E358" s="24">
        <v>7</v>
      </c>
    </row>
    <row r="359" spans="2:5">
      <c r="B359" s="35">
        <v>2004</v>
      </c>
      <c r="C359" s="36" t="s">
        <v>15</v>
      </c>
      <c r="D359" s="23">
        <v>27.5</v>
      </c>
      <c r="E359" s="24">
        <v>25</v>
      </c>
    </row>
    <row r="360" spans="2:5">
      <c r="B360" s="35">
        <v>2004</v>
      </c>
      <c r="C360" s="36" t="s">
        <v>16</v>
      </c>
      <c r="D360" s="23">
        <v>26.7</v>
      </c>
      <c r="E360" s="24">
        <v>22</v>
      </c>
    </row>
    <row r="361" spans="2:5">
      <c r="B361" s="35">
        <v>2004</v>
      </c>
      <c r="C361" s="36" t="s">
        <v>17</v>
      </c>
      <c r="D361" s="23">
        <v>24.7</v>
      </c>
      <c r="E361" s="24">
        <v>13</v>
      </c>
    </row>
    <row r="362" spans="2:5">
      <c r="B362" s="35">
        <v>2004</v>
      </c>
      <c r="C362" s="36" t="s">
        <v>18</v>
      </c>
      <c r="D362" s="23">
        <v>17.2</v>
      </c>
      <c r="E362" s="24">
        <v>0</v>
      </c>
    </row>
    <row r="363" spans="2:5">
      <c r="B363" s="35">
        <v>2004</v>
      </c>
      <c r="C363" s="36" t="s">
        <v>19</v>
      </c>
      <c r="D363" s="23">
        <v>15.2</v>
      </c>
      <c r="E363" s="24">
        <v>0</v>
      </c>
    </row>
    <row r="364" spans="2:5">
      <c r="B364" s="35">
        <v>2004</v>
      </c>
      <c r="C364" s="36" t="s">
        <v>20</v>
      </c>
      <c r="D364" s="23">
        <v>9.6</v>
      </c>
      <c r="E364" s="24">
        <v>0</v>
      </c>
    </row>
    <row r="365" spans="2:5">
      <c r="B365" s="35">
        <v>2005</v>
      </c>
      <c r="C365" s="36" t="s">
        <v>9</v>
      </c>
      <c r="D365" s="23">
        <v>6.3</v>
      </c>
      <c r="E365" s="24">
        <v>0</v>
      </c>
    </row>
    <row r="366" spans="2:5">
      <c r="B366" s="35">
        <v>2005</v>
      </c>
      <c r="C366" s="36" t="s">
        <v>10</v>
      </c>
      <c r="D366" s="23">
        <v>6</v>
      </c>
      <c r="E366" s="24">
        <v>0</v>
      </c>
    </row>
    <row r="367" spans="2:5">
      <c r="B367" s="35">
        <v>2005</v>
      </c>
      <c r="C367" s="36" t="s">
        <v>11</v>
      </c>
      <c r="D367" s="23">
        <v>8.8000000000000007</v>
      </c>
      <c r="E367" s="24">
        <v>0</v>
      </c>
    </row>
    <row r="368" spans="2:5">
      <c r="B368" s="35">
        <v>2005</v>
      </c>
      <c r="C368" s="36" t="s">
        <v>12</v>
      </c>
      <c r="D368" s="23">
        <v>14.4</v>
      </c>
      <c r="E368" s="24">
        <v>0</v>
      </c>
    </row>
    <row r="369" spans="2:5">
      <c r="B369" s="35">
        <v>2005</v>
      </c>
      <c r="C369" s="36" t="s">
        <v>13</v>
      </c>
      <c r="D369" s="23">
        <v>16.899999999999999</v>
      </c>
      <c r="E369" s="24">
        <v>0</v>
      </c>
    </row>
    <row r="370" spans="2:5">
      <c r="B370" s="35">
        <v>2005</v>
      </c>
      <c r="C370" s="36" t="s">
        <v>14</v>
      </c>
      <c r="D370" s="23">
        <v>22.2</v>
      </c>
      <c r="E370" s="24">
        <v>3</v>
      </c>
    </row>
    <row r="371" spans="2:5">
      <c r="B371" s="35">
        <v>2005</v>
      </c>
      <c r="C371" s="36" t="s">
        <v>15</v>
      </c>
      <c r="D371" s="23">
        <v>24.9</v>
      </c>
      <c r="E371" s="24">
        <v>11</v>
      </c>
    </row>
    <row r="372" spans="2:5">
      <c r="B372" s="35">
        <v>2005</v>
      </c>
      <c r="C372" s="36" t="s">
        <v>16</v>
      </c>
      <c r="D372" s="23">
        <v>27.4</v>
      </c>
      <c r="E372" s="24">
        <v>23</v>
      </c>
    </row>
    <row r="373" spans="2:5">
      <c r="B373" s="35">
        <v>2005</v>
      </c>
      <c r="C373" s="36" t="s">
        <v>17</v>
      </c>
      <c r="D373" s="23">
        <v>24.3</v>
      </c>
      <c r="E373" s="24">
        <v>11</v>
      </c>
    </row>
    <row r="374" spans="2:5">
      <c r="B374" s="35">
        <v>2005</v>
      </c>
      <c r="C374" s="36" t="s">
        <v>18</v>
      </c>
      <c r="D374" s="23">
        <v>18.8</v>
      </c>
      <c r="E374" s="24">
        <v>0</v>
      </c>
    </row>
    <row r="375" spans="2:5">
      <c r="B375" s="35">
        <v>2005</v>
      </c>
      <c r="C375" s="36" t="s">
        <v>19</v>
      </c>
      <c r="D375" s="23">
        <v>12.9</v>
      </c>
      <c r="E375" s="24">
        <v>0</v>
      </c>
    </row>
    <row r="376" spans="2:5">
      <c r="B376" s="35">
        <v>2005</v>
      </c>
      <c r="C376" s="36" t="s">
        <v>20</v>
      </c>
      <c r="D376" s="23">
        <v>6.2</v>
      </c>
      <c r="E376" s="24">
        <v>0</v>
      </c>
    </row>
    <row r="377" spans="2:5">
      <c r="B377" s="35">
        <v>2006</v>
      </c>
      <c r="C377" s="36" t="s">
        <v>9</v>
      </c>
      <c r="D377" s="23">
        <v>4.7</v>
      </c>
      <c r="E377" s="24">
        <v>0</v>
      </c>
    </row>
    <row r="378" spans="2:5">
      <c r="B378" s="35">
        <v>2006</v>
      </c>
      <c r="C378" s="36" t="s">
        <v>10</v>
      </c>
      <c r="D378" s="23">
        <v>6.5</v>
      </c>
      <c r="E378" s="24">
        <v>0</v>
      </c>
    </row>
    <row r="379" spans="2:5">
      <c r="B379" s="35">
        <v>2006</v>
      </c>
      <c r="C379" s="36" t="s">
        <v>11</v>
      </c>
      <c r="D379" s="23">
        <v>9.6</v>
      </c>
      <c r="E379" s="24">
        <v>0</v>
      </c>
    </row>
    <row r="380" spans="2:5">
      <c r="B380" s="35">
        <v>2006</v>
      </c>
      <c r="C380" s="36" t="s">
        <v>12</v>
      </c>
      <c r="D380" s="23">
        <v>13.3</v>
      </c>
      <c r="E380" s="24">
        <v>0</v>
      </c>
    </row>
    <row r="381" spans="2:5">
      <c r="B381" s="35">
        <v>2006</v>
      </c>
      <c r="C381" s="36" t="s">
        <v>13</v>
      </c>
      <c r="D381" s="23">
        <v>18.5</v>
      </c>
      <c r="E381" s="24">
        <v>0</v>
      </c>
    </row>
    <row r="382" spans="2:5">
      <c r="B382" s="35">
        <v>2006</v>
      </c>
      <c r="C382" s="36" t="s">
        <v>14</v>
      </c>
      <c r="D382" s="23">
        <v>21.9</v>
      </c>
      <c r="E382" s="24">
        <v>1</v>
      </c>
    </row>
    <row r="383" spans="2:5">
      <c r="B383" s="35">
        <v>2006</v>
      </c>
      <c r="C383" s="36" t="s">
        <v>15</v>
      </c>
      <c r="D383" s="23">
        <v>25.1</v>
      </c>
      <c r="E383" s="24">
        <v>11</v>
      </c>
    </row>
    <row r="384" spans="2:5">
      <c r="B384" s="35">
        <v>2006</v>
      </c>
      <c r="C384" s="36" t="s">
        <v>16</v>
      </c>
      <c r="D384" s="23">
        <v>26.8</v>
      </c>
      <c r="E384" s="24">
        <v>22</v>
      </c>
    </row>
    <row r="385" spans="2:5">
      <c r="B385" s="35">
        <v>2006</v>
      </c>
      <c r="C385" s="36" t="s">
        <v>17</v>
      </c>
      <c r="D385" s="23">
        <v>23.2</v>
      </c>
      <c r="E385" s="24">
        <v>6</v>
      </c>
    </row>
    <row r="386" spans="2:5">
      <c r="B386" s="35">
        <v>2006</v>
      </c>
      <c r="C386" s="36" t="s">
        <v>18</v>
      </c>
      <c r="D386" s="23">
        <v>19.3</v>
      </c>
      <c r="E386" s="24">
        <v>0</v>
      </c>
    </row>
    <row r="387" spans="2:5">
      <c r="B387" s="35">
        <v>2006</v>
      </c>
      <c r="C387" s="36" t="s">
        <v>19</v>
      </c>
      <c r="D387" s="23">
        <v>14.1</v>
      </c>
      <c r="E387" s="24">
        <v>0</v>
      </c>
    </row>
    <row r="388" spans="2:5">
      <c r="B388" s="35">
        <v>2006</v>
      </c>
      <c r="C388" s="36" t="s">
        <v>20</v>
      </c>
      <c r="D388" s="23">
        <v>9.1999999999999993</v>
      </c>
      <c r="E388" s="24">
        <v>0</v>
      </c>
    </row>
    <row r="389" spans="2:5">
      <c r="B389" s="35">
        <v>2007</v>
      </c>
      <c r="C389" s="36" t="s">
        <v>9</v>
      </c>
      <c r="D389" s="23">
        <v>7.4</v>
      </c>
      <c r="E389" s="24">
        <v>0</v>
      </c>
    </row>
    <row r="390" spans="2:5">
      <c r="B390" s="35">
        <v>2007</v>
      </c>
      <c r="C390" s="36" t="s">
        <v>10</v>
      </c>
      <c r="D390" s="23">
        <v>8.4</v>
      </c>
      <c r="E390" s="24">
        <v>0</v>
      </c>
    </row>
    <row r="391" spans="2:5">
      <c r="B391" s="35">
        <v>2007</v>
      </c>
      <c r="C391" s="36" t="s">
        <v>11</v>
      </c>
      <c r="D391" s="23">
        <v>10.6</v>
      </c>
      <c r="E391" s="24">
        <v>0</v>
      </c>
    </row>
    <row r="392" spans="2:5">
      <c r="B392" s="35">
        <v>2007</v>
      </c>
      <c r="C392" s="36" t="s">
        <v>12</v>
      </c>
      <c r="D392" s="23">
        <v>13.5</v>
      </c>
      <c r="E392" s="24">
        <v>0</v>
      </c>
    </row>
    <row r="393" spans="2:5">
      <c r="B393" s="35">
        <v>2007</v>
      </c>
      <c r="C393" s="36" t="s">
        <v>13</v>
      </c>
      <c r="D393" s="23">
        <v>19.399999999999999</v>
      </c>
      <c r="E393" s="24">
        <v>0</v>
      </c>
    </row>
    <row r="394" spans="2:5">
      <c r="B394" s="35">
        <v>2007</v>
      </c>
      <c r="C394" s="36" t="s">
        <v>14</v>
      </c>
      <c r="D394" s="23">
        <v>22.6</v>
      </c>
      <c r="E394" s="24">
        <v>5</v>
      </c>
    </row>
    <row r="395" spans="2:5">
      <c r="B395" s="35">
        <v>2007</v>
      </c>
      <c r="C395" s="36" t="s">
        <v>15</v>
      </c>
      <c r="D395" s="23">
        <v>23.8</v>
      </c>
      <c r="E395" s="24">
        <v>7</v>
      </c>
    </row>
    <row r="396" spans="2:5">
      <c r="B396" s="35">
        <v>2007</v>
      </c>
      <c r="C396" s="36" t="s">
        <v>16</v>
      </c>
      <c r="D396" s="23">
        <v>28.3</v>
      </c>
      <c r="E396" s="24">
        <v>28</v>
      </c>
    </row>
    <row r="397" spans="2:5">
      <c r="B397" s="35">
        <v>2007</v>
      </c>
      <c r="C397" s="36" t="s">
        <v>17</v>
      </c>
      <c r="D397" s="23">
        <v>24.8</v>
      </c>
      <c r="E397" s="24">
        <v>11</v>
      </c>
    </row>
    <row r="398" spans="2:5">
      <c r="B398" s="35">
        <v>2007</v>
      </c>
      <c r="C398" s="36" t="s">
        <v>18</v>
      </c>
      <c r="D398" s="23">
        <v>18.7</v>
      </c>
      <c r="E398" s="24">
        <v>0</v>
      </c>
    </row>
    <row r="399" spans="2:5">
      <c r="B399" s="35">
        <v>2007</v>
      </c>
      <c r="C399" s="36" t="s">
        <v>19</v>
      </c>
      <c r="D399" s="23">
        <v>13</v>
      </c>
      <c r="E399" s="24">
        <v>0</v>
      </c>
    </row>
    <row r="400" spans="2:5">
      <c r="B400" s="35">
        <v>2007</v>
      </c>
      <c r="C400" s="36" t="s">
        <v>20</v>
      </c>
      <c r="D400" s="23">
        <v>9</v>
      </c>
      <c r="E400" s="24">
        <v>0</v>
      </c>
    </row>
    <row r="401" spans="2:5">
      <c r="B401" s="35">
        <v>2008</v>
      </c>
      <c r="C401" s="36" t="s">
        <v>9</v>
      </c>
      <c r="D401" s="23">
        <v>5.6</v>
      </c>
      <c r="E401" s="24">
        <v>0</v>
      </c>
    </row>
    <row r="402" spans="2:5">
      <c r="B402" s="35">
        <v>2008</v>
      </c>
      <c r="C402" s="36" t="s">
        <v>10</v>
      </c>
      <c r="D402" s="23">
        <v>5.4</v>
      </c>
      <c r="E402" s="24">
        <v>0</v>
      </c>
    </row>
    <row r="403" spans="2:5">
      <c r="B403" s="35">
        <v>2008</v>
      </c>
      <c r="C403" s="36" t="s">
        <v>11</v>
      </c>
      <c r="D403" s="23">
        <v>10.3</v>
      </c>
      <c r="E403" s="24">
        <v>0</v>
      </c>
    </row>
    <row r="404" spans="2:5">
      <c r="B404" s="35">
        <v>2008</v>
      </c>
      <c r="C404" s="36" t="s">
        <v>12</v>
      </c>
      <c r="D404" s="23">
        <v>14</v>
      </c>
      <c r="E404" s="24">
        <v>0</v>
      </c>
    </row>
    <row r="405" spans="2:5">
      <c r="B405" s="35">
        <v>2008</v>
      </c>
      <c r="C405" s="36" t="s">
        <v>13</v>
      </c>
      <c r="D405" s="23">
        <v>17.899999999999999</v>
      </c>
      <c r="E405" s="24">
        <v>0</v>
      </c>
    </row>
    <row r="406" spans="2:5">
      <c r="B406" s="35">
        <v>2008</v>
      </c>
      <c r="C406" s="36" t="s">
        <v>14</v>
      </c>
      <c r="D406" s="23">
        <v>20.8</v>
      </c>
      <c r="E406" s="24">
        <v>0</v>
      </c>
    </row>
    <row r="407" spans="2:5">
      <c r="B407" s="35">
        <v>2008</v>
      </c>
      <c r="C407" s="36" t="s">
        <v>15</v>
      </c>
      <c r="D407" s="23">
        <v>26.2</v>
      </c>
      <c r="E407" s="24">
        <v>20</v>
      </c>
    </row>
    <row r="408" spans="2:5">
      <c r="B408" s="35">
        <v>2008</v>
      </c>
      <c r="C408" s="36" t="s">
        <v>16</v>
      </c>
      <c r="D408" s="23">
        <v>26.8</v>
      </c>
      <c r="E408" s="24">
        <v>19</v>
      </c>
    </row>
    <row r="409" spans="2:5">
      <c r="B409" s="35">
        <v>2008</v>
      </c>
      <c r="C409" s="36" t="s">
        <v>17</v>
      </c>
      <c r="D409" s="23">
        <v>23.8</v>
      </c>
      <c r="E409" s="24">
        <v>9</v>
      </c>
    </row>
    <row r="410" spans="2:5">
      <c r="B410" s="35">
        <v>2008</v>
      </c>
      <c r="C410" s="36" t="s">
        <v>18</v>
      </c>
      <c r="D410" s="23">
        <v>19.100000000000001</v>
      </c>
      <c r="E410" s="24">
        <v>0</v>
      </c>
    </row>
    <row r="411" spans="2:5">
      <c r="B411" s="35">
        <v>2008</v>
      </c>
      <c r="C411" s="36" t="s">
        <v>19</v>
      </c>
      <c r="D411" s="23">
        <v>13.2</v>
      </c>
      <c r="E411" s="24">
        <v>0</v>
      </c>
    </row>
    <row r="412" spans="2:5">
      <c r="B412" s="35">
        <v>2008</v>
      </c>
      <c r="C412" s="36" t="s">
        <v>20</v>
      </c>
      <c r="D412" s="23">
        <v>9.6999999999999993</v>
      </c>
      <c r="E412" s="24">
        <v>0</v>
      </c>
    </row>
    <row r="413" spans="2:5">
      <c r="B413" s="35">
        <v>2009</v>
      </c>
      <c r="C413" s="36" t="s">
        <v>9</v>
      </c>
      <c r="D413" s="23">
        <v>6.7</v>
      </c>
      <c r="E413" s="24">
        <v>0</v>
      </c>
    </row>
    <row r="414" spans="2:5">
      <c r="B414" s="35">
        <v>2009</v>
      </c>
      <c r="C414" s="36" t="s">
        <v>10</v>
      </c>
      <c r="D414" s="23">
        <v>7.6</v>
      </c>
      <c r="E414" s="24">
        <v>0</v>
      </c>
    </row>
    <row r="415" spans="2:5">
      <c r="B415" s="35">
        <v>2009</v>
      </c>
      <c r="C415" s="36" t="s">
        <v>11</v>
      </c>
      <c r="D415" s="23">
        <v>9.6999999999999993</v>
      </c>
      <c r="E415" s="24">
        <v>0</v>
      </c>
    </row>
    <row r="416" spans="2:5">
      <c r="B416" s="35">
        <v>2009</v>
      </c>
      <c r="C416" s="36" t="s">
        <v>12</v>
      </c>
      <c r="D416" s="23">
        <v>15.4</v>
      </c>
      <c r="E416" s="24">
        <v>0</v>
      </c>
    </row>
    <row r="417" spans="2:5">
      <c r="B417" s="35">
        <v>2009</v>
      </c>
      <c r="C417" s="36" t="s">
        <v>13</v>
      </c>
      <c r="D417" s="23">
        <v>19.600000000000001</v>
      </c>
      <c r="E417" s="24">
        <v>0</v>
      </c>
    </row>
    <row r="418" spans="2:5">
      <c r="B418" s="35">
        <v>2009</v>
      </c>
      <c r="C418" s="36" t="s">
        <v>14</v>
      </c>
      <c r="D418" s="23">
        <v>21.9</v>
      </c>
      <c r="E418" s="24">
        <v>0</v>
      </c>
    </row>
    <row r="419" spans="2:5">
      <c r="B419" s="35">
        <v>2009</v>
      </c>
      <c r="C419" s="36" t="s">
        <v>15</v>
      </c>
      <c r="D419" s="23">
        <v>25.8</v>
      </c>
      <c r="E419" s="24">
        <v>12</v>
      </c>
    </row>
    <row r="420" spans="2:5">
      <c r="B420" s="35">
        <v>2009</v>
      </c>
      <c r="C420" s="36" t="s">
        <v>16</v>
      </c>
      <c r="D420" s="23">
        <v>25.8</v>
      </c>
      <c r="E420" s="24">
        <v>16</v>
      </c>
    </row>
    <row r="421" spans="2:5">
      <c r="B421" s="35">
        <v>2009</v>
      </c>
      <c r="C421" s="36" t="s">
        <v>17</v>
      </c>
      <c r="D421" s="23">
        <v>22.4</v>
      </c>
      <c r="E421" s="24">
        <v>1</v>
      </c>
    </row>
    <row r="422" spans="2:5">
      <c r="B422" s="35">
        <v>2009</v>
      </c>
      <c r="C422" s="36" t="s">
        <v>18</v>
      </c>
      <c r="D422" s="23">
        <v>18.7</v>
      </c>
      <c r="E422" s="24">
        <v>0</v>
      </c>
    </row>
    <row r="423" spans="2:5">
      <c r="B423" s="35">
        <v>2009</v>
      </c>
      <c r="C423" s="36" t="s">
        <v>19</v>
      </c>
      <c r="D423" s="23">
        <v>13.3</v>
      </c>
      <c r="E423" s="24">
        <v>0</v>
      </c>
    </row>
    <row r="424" spans="2:5">
      <c r="B424" s="35">
        <v>2009</v>
      </c>
      <c r="C424" s="36" t="s">
        <v>20</v>
      </c>
      <c r="D424" s="23">
        <v>8.9</v>
      </c>
      <c r="E424" s="24">
        <v>0</v>
      </c>
    </row>
    <row r="425" spans="2:5">
      <c r="B425" s="35">
        <v>2010</v>
      </c>
      <c r="C425" s="36" t="s">
        <v>9</v>
      </c>
      <c r="D425" s="23">
        <v>7</v>
      </c>
      <c r="E425" s="24">
        <v>0</v>
      </c>
    </row>
    <row r="426" spans="2:5">
      <c r="B426" s="35">
        <v>2010</v>
      </c>
      <c r="C426" s="36" t="s">
        <v>10</v>
      </c>
      <c r="D426" s="23">
        <v>6.4</v>
      </c>
      <c r="E426" s="24">
        <v>0</v>
      </c>
    </row>
    <row r="427" spans="2:5">
      <c r="B427" s="35">
        <v>2010</v>
      </c>
      <c r="C427" s="36" t="s">
        <v>11</v>
      </c>
      <c r="D427" s="23">
        <v>8.9</v>
      </c>
      <c r="E427" s="24">
        <v>0</v>
      </c>
    </row>
    <row r="428" spans="2:5">
      <c r="B428" s="35">
        <v>2010</v>
      </c>
      <c r="C428" s="36" t="s">
        <v>12</v>
      </c>
      <c r="D428" s="23">
        <v>12</v>
      </c>
      <c r="E428" s="24">
        <v>0</v>
      </c>
    </row>
    <row r="429" spans="2:5">
      <c r="B429" s="35">
        <v>2010</v>
      </c>
      <c r="C429" s="36" t="s">
        <v>13</v>
      </c>
      <c r="D429" s="23">
        <v>18.5</v>
      </c>
      <c r="E429" s="24">
        <v>0</v>
      </c>
    </row>
    <row r="430" spans="2:5">
      <c r="B430" s="35">
        <v>2010</v>
      </c>
      <c r="C430" s="36" t="s">
        <v>14</v>
      </c>
      <c r="D430" s="23">
        <v>22.9</v>
      </c>
      <c r="E430" s="24">
        <v>2</v>
      </c>
    </row>
    <row r="431" spans="2:5">
      <c r="B431" s="35">
        <v>2010</v>
      </c>
      <c r="C431" s="36" t="s">
        <v>15</v>
      </c>
      <c r="D431" s="23">
        <v>27.7</v>
      </c>
      <c r="E431" s="24">
        <v>21</v>
      </c>
    </row>
    <row r="432" spans="2:5">
      <c r="B432" s="35">
        <v>2010</v>
      </c>
      <c r="C432" s="36" t="s">
        <v>16</v>
      </c>
      <c r="D432" s="23">
        <v>29</v>
      </c>
      <c r="E432" s="24">
        <v>30</v>
      </c>
    </row>
    <row r="433" spans="2:5">
      <c r="B433" s="35">
        <v>2010</v>
      </c>
      <c r="C433" s="36" t="s">
        <v>17</v>
      </c>
      <c r="D433" s="23">
        <v>24.8</v>
      </c>
      <c r="E433" s="24">
        <v>14</v>
      </c>
    </row>
    <row r="434" spans="2:5">
      <c r="B434" s="35">
        <v>2010</v>
      </c>
      <c r="C434" s="36" t="s">
        <v>18</v>
      </c>
      <c r="D434" s="23">
        <v>18.600000000000001</v>
      </c>
      <c r="E434" s="24">
        <v>0</v>
      </c>
    </row>
    <row r="435" spans="2:5">
      <c r="B435" s="35">
        <v>2010</v>
      </c>
      <c r="C435" s="36" t="s">
        <v>19</v>
      </c>
      <c r="D435" s="23">
        <v>13.6</v>
      </c>
      <c r="E435" s="24">
        <v>0</v>
      </c>
    </row>
    <row r="436" spans="2:5">
      <c r="B436" s="35">
        <v>2010</v>
      </c>
      <c r="C436" s="36" t="s">
        <v>20</v>
      </c>
      <c r="D436" s="23">
        <v>10.199999999999999</v>
      </c>
      <c r="E436" s="24">
        <v>0</v>
      </c>
    </row>
    <row r="437" spans="2:5">
      <c r="B437" s="35">
        <v>2011</v>
      </c>
      <c r="C437" s="36" t="s">
        <v>9</v>
      </c>
      <c r="D437" s="23">
        <v>5.2</v>
      </c>
      <c r="E437" s="24">
        <v>0</v>
      </c>
    </row>
    <row r="438" spans="2:5">
      <c r="B438" s="35">
        <v>2011</v>
      </c>
      <c r="C438" s="36" t="s">
        <v>10</v>
      </c>
      <c r="D438" s="23">
        <v>7.1</v>
      </c>
      <c r="E438" s="24">
        <v>0</v>
      </c>
    </row>
    <row r="439" spans="2:5">
      <c r="B439" s="35">
        <v>2011</v>
      </c>
      <c r="C439" s="36" t="s">
        <v>11</v>
      </c>
      <c r="D439" s="23">
        <v>8.1999999999999993</v>
      </c>
      <c r="E439" s="24">
        <v>0</v>
      </c>
    </row>
    <row r="440" spans="2:5">
      <c r="B440" s="35">
        <v>2011</v>
      </c>
      <c r="C440" s="36" t="s">
        <v>12</v>
      </c>
      <c r="D440" s="23">
        <v>14.4</v>
      </c>
      <c r="E440" s="24">
        <v>0</v>
      </c>
    </row>
    <row r="441" spans="2:5">
      <c r="B441" s="35">
        <v>2011</v>
      </c>
      <c r="C441" s="36" t="s">
        <v>13</v>
      </c>
      <c r="D441" s="23">
        <v>18.399999999999999</v>
      </c>
      <c r="E441" s="24">
        <v>0</v>
      </c>
    </row>
    <row r="442" spans="2:5">
      <c r="B442" s="35">
        <v>2011</v>
      </c>
      <c r="C442" s="36" t="s">
        <v>14</v>
      </c>
      <c r="D442" s="23">
        <v>22.3</v>
      </c>
      <c r="E442" s="24">
        <v>4</v>
      </c>
    </row>
    <row r="443" spans="2:5">
      <c r="B443" s="35">
        <v>2011</v>
      </c>
      <c r="C443" s="36" t="s">
        <v>15</v>
      </c>
      <c r="D443" s="23">
        <v>26.8</v>
      </c>
      <c r="E443" s="24">
        <v>18</v>
      </c>
    </row>
    <row r="444" spans="2:5">
      <c r="B444" s="35">
        <v>2011</v>
      </c>
      <c r="C444" s="36" t="s">
        <v>16</v>
      </c>
      <c r="D444" s="23">
        <v>27.2</v>
      </c>
      <c r="E444" s="24">
        <v>23</v>
      </c>
    </row>
    <row r="445" spans="2:5">
      <c r="B445" s="35">
        <v>2011</v>
      </c>
      <c r="C445" s="36" t="s">
        <v>17</v>
      </c>
      <c r="D445" s="23">
        <v>25</v>
      </c>
      <c r="E445" s="24">
        <v>16</v>
      </c>
    </row>
    <row r="446" spans="2:5">
      <c r="B446" s="35">
        <v>2011</v>
      </c>
      <c r="C446" s="36" t="s">
        <v>18</v>
      </c>
      <c r="D446" s="23">
        <v>19.2</v>
      </c>
      <c r="E446" s="24">
        <v>0</v>
      </c>
    </row>
    <row r="447" spans="2:5">
      <c r="B447" s="35">
        <v>2011</v>
      </c>
      <c r="C447" s="36" t="s">
        <v>19</v>
      </c>
      <c r="D447" s="23">
        <v>14.7</v>
      </c>
      <c r="E447" s="24">
        <v>0</v>
      </c>
    </row>
    <row r="448" spans="2:5">
      <c r="B448" s="35">
        <v>2011</v>
      </c>
      <c r="C448" s="36" t="s">
        <v>20</v>
      </c>
      <c r="D448" s="23">
        <v>7.2</v>
      </c>
      <c r="E448" s="24">
        <v>0</v>
      </c>
    </row>
    <row r="449" spans="2:5">
      <c r="B449" s="35">
        <v>2012</v>
      </c>
      <c r="C449" s="36" t="s">
        <v>9</v>
      </c>
      <c r="D449" s="23">
        <v>4.4000000000000004</v>
      </c>
      <c r="E449" s="24">
        <v>0</v>
      </c>
    </row>
    <row r="450" spans="2:5">
      <c r="B450" s="35">
        <v>2012</v>
      </c>
      <c r="C450" s="36" t="s">
        <v>10</v>
      </c>
      <c r="D450" s="23">
        <v>5.2</v>
      </c>
      <c r="E450" s="24">
        <v>0</v>
      </c>
    </row>
    <row r="451" spans="2:5">
      <c r="B451" s="35">
        <v>2012</v>
      </c>
      <c r="C451" s="36" t="s">
        <v>11</v>
      </c>
      <c r="D451" s="23">
        <v>8.6999999999999993</v>
      </c>
      <c r="E451" s="24">
        <v>0</v>
      </c>
    </row>
    <row r="452" spans="2:5">
      <c r="B452" s="35">
        <v>2012</v>
      </c>
      <c r="C452" s="36" t="s">
        <v>12</v>
      </c>
      <c r="D452" s="23">
        <v>14</v>
      </c>
      <c r="E452" s="24">
        <v>0</v>
      </c>
    </row>
    <row r="453" spans="2:5">
      <c r="B453" s="35">
        <v>2012</v>
      </c>
      <c r="C453" s="36" t="s">
        <v>13</v>
      </c>
      <c r="D453" s="23">
        <v>19.2</v>
      </c>
      <c r="E453" s="24">
        <v>0</v>
      </c>
    </row>
    <row r="454" spans="2:5">
      <c r="B454" s="35">
        <v>2012</v>
      </c>
      <c r="C454" s="36" t="s">
        <v>14</v>
      </c>
      <c r="D454" s="23">
        <v>20.7</v>
      </c>
      <c r="E454" s="24">
        <v>0</v>
      </c>
    </row>
    <row r="455" spans="2:5">
      <c r="B455" s="35">
        <v>2012</v>
      </c>
      <c r="C455" s="36" t="s">
        <v>15</v>
      </c>
      <c r="D455" s="23">
        <v>25.7</v>
      </c>
      <c r="E455" s="24">
        <v>15</v>
      </c>
    </row>
    <row r="456" spans="2:5">
      <c r="B456" s="35">
        <v>2012</v>
      </c>
      <c r="C456" s="36" t="s">
        <v>16</v>
      </c>
      <c r="D456" s="23">
        <v>28.2</v>
      </c>
      <c r="E456" s="24">
        <v>27</v>
      </c>
    </row>
    <row r="457" spans="2:5">
      <c r="B457" s="35">
        <v>2012</v>
      </c>
      <c r="C457" s="36" t="s">
        <v>17</v>
      </c>
      <c r="D457" s="23">
        <v>25.5</v>
      </c>
      <c r="E457" s="24">
        <v>16</v>
      </c>
    </row>
    <row r="458" spans="2:5">
      <c r="B458" s="35">
        <v>2012</v>
      </c>
      <c r="C458" s="36" t="s">
        <v>18</v>
      </c>
      <c r="D458" s="23">
        <v>18.899999999999999</v>
      </c>
      <c r="E458" s="24">
        <v>0</v>
      </c>
    </row>
    <row r="459" spans="2:5">
      <c r="B459" s="35">
        <v>2012</v>
      </c>
      <c r="C459" s="36" t="s">
        <v>19</v>
      </c>
      <c r="D459" s="23">
        <v>12.6</v>
      </c>
      <c r="E459" s="24">
        <v>0</v>
      </c>
    </row>
    <row r="460" spans="2:5">
      <c r="B460" s="35">
        <v>2012</v>
      </c>
      <c r="C460" s="36" t="s">
        <v>20</v>
      </c>
      <c r="D460" s="23">
        <v>7.1</v>
      </c>
      <c r="E460" s="24">
        <v>0</v>
      </c>
    </row>
    <row r="461" spans="2:5">
      <c r="B461" s="35">
        <v>2013</v>
      </c>
      <c r="C461" s="36" t="s">
        <v>9</v>
      </c>
      <c r="D461" s="23">
        <v>5.3</v>
      </c>
      <c r="E461" s="24">
        <v>0</v>
      </c>
    </row>
    <row r="462" spans="2:5">
      <c r="B462" s="35">
        <v>2013</v>
      </c>
      <c r="C462" s="36" t="s">
        <v>10</v>
      </c>
      <c r="D462" s="23">
        <v>5.8</v>
      </c>
      <c r="E462" s="24">
        <v>0</v>
      </c>
    </row>
    <row r="463" spans="2:5">
      <c r="B463" s="35">
        <v>2013</v>
      </c>
      <c r="C463" s="36" t="s">
        <v>11</v>
      </c>
      <c r="D463" s="23">
        <v>11.7</v>
      </c>
      <c r="E463" s="24">
        <v>0</v>
      </c>
    </row>
    <row r="464" spans="2:5">
      <c r="B464" s="35">
        <v>2013</v>
      </c>
      <c r="C464" s="36" t="s">
        <v>12</v>
      </c>
      <c r="D464" s="23">
        <v>14.8</v>
      </c>
      <c r="E464" s="24">
        <v>0</v>
      </c>
    </row>
    <row r="465" spans="2:5">
      <c r="B465" s="35">
        <v>2013</v>
      </c>
      <c r="C465" s="36" t="s">
        <v>13</v>
      </c>
      <c r="D465" s="23">
        <v>18.899999999999999</v>
      </c>
      <c r="E465" s="24">
        <v>0</v>
      </c>
    </row>
    <row r="466" spans="2:5">
      <c r="B466" s="35">
        <v>2013</v>
      </c>
      <c r="C466" s="36" t="s">
        <v>14</v>
      </c>
      <c r="D466" s="23">
        <v>21.9</v>
      </c>
      <c r="E466" s="24">
        <v>0</v>
      </c>
    </row>
    <row r="467" spans="2:5">
      <c r="B467" s="35">
        <v>2013</v>
      </c>
      <c r="C467" s="36" t="s">
        <v>15</v>
      </c>
      <c r="D467" s="23">
        <v>26.3</v>
      </c>
      <c r="E467" s="24">
        <v>19</v>
      </c>
    </row>
    <row r="468" spans="2:5">
      <c r="B468" s="35">
        <v>2013</v>
      </c>
      <c r="C468" s="36" t="s">
        <v>16</v>
      </c>
      <c r="D468" s="23">
        <v>28.5</v>
      </c>
      <c r="E468" s="24">
        <v>28</v>
      </c>
    </row>
    <row r="469" spans="2:5">
      <c r="B469" s="35">
        <v>2013</v>
      </c>
      <c r="C469" s="36" t="s">
        <v>17</v>
      </c>
      <c r="D469" s="23">
        <v>24.5</v>
      </c>
      <c r="E469" s="24">
        <v>9</v>
      </c>
    </row>
    <row r="470" spans="2:5">
      <c r="B470" s="35">
        <v>2013</v>
      </c>
      <c r="C470" s="36" t="s">
        <v>18</v>
      </c>
      <c r="D470" s="23">
        <v>19.5</v>
      </c>
      <c r="E470" s="24">
        <v>0</v>
      </c>
    </row>
    <row r="471" spans="2:5">
      <c r="B471" s="35">
        <v>2013</v>
      </c>
      <c r="C471" s="36" t="s">
        <v>19</v>
      </c>
      <c r="D471" s="23">
        <v>13.4</v>
      </c>
      <c r="E471" s="24">
        <v>0</v>
      </c>
    </row>
    <row r="472" spans="2:5">
      <c r="B472" s="35">
        <v>2013</v>
      </c>
      <c r="C472" s="36" t="s">
        <v>20</v>
      </c>
      <c r="D472" s="23">
        <v>8.1999999999999993</v>
      </c>
      <c r="E472" s="24">
        <v>0</v>
      </c>
    </row>
    <row r="473" spans="2:5">
      <c r="B473" s="35">
        <v>2014</v>
      </c>
      <c r="C473" s="36" t="s">
        <v>9</v>
      </c>
      <c r="D473" s="23">
        <v>6.2</v>
      </c>
      <c r="E473" s="24">
        <v>0</v>
      </c>
    </row>
    <row r="474" spans="2:5">
      <c r="B474" s="35">
        <v>2014</v>
      </c>
      <c r="C474" s="36" t="s">
        <v>10</v>
      </c>
      <c r="D474" s="23">
        <v>5.7</v>
      </c>
      <c r="E474" s="24">
        <v>0</v>
      </c>
    </row>
    <row r="475" spans="2:5">
      <c r="B475" s="35">
        <v>2014</v>
      </c>
      <c r="C475" s="36" t="s">
        <v>11</v>
      </c>
      <c r="D475" s="23">
        <v>10</v>
      </c>
      <c r="E475" s="24">
        <v>0</v>
      </c>
    </row>
    <row r="476" spans="2:5">
      <c r="B476" s="35">
        <v>2014</v>
      </c>
      <c r="C476" s="36" t="s">
        <v>12</v>
      </c>
      <c r="D476" s="23">
        <v>14.3</v>
      </c>
      <c r="E476" s="24">
        <v>0</v>
      </c>
    </row>
    <row r="477" spans="2:5">
      <c r="B477" s="35">
        <v>2014</v>
      </c>
      <c r="C477" s="36" t="s">
        <v>13</v>
      </c>
      <c r="D477" s="23">
        <v>19.600000000000001</v>
      </c>
      <c r="E477" s="24">
        <v>1</v>
      </c>
    </row>
    <row r="478" spans="2:5">
      <c r="B478" s="35">
        <v>2014</v>
      </c>
      <c r="C478" s="36" t="s">
        <v>14</v>
      </c>
      <c r="D478" s="23">
        <v>22.7</v>
      </c>
      <c r="E478" s="24">
        <v>3</v>
      </c>
    </row>
    <row r="479" spans="2:5">
      <c r="B479" s="35">
        <v>2014</v>
      </c>
      <c r="C479" s="36" t="s">
        <v>15</v>
      </c>
      <c r="D479" s="23">
        <v>26.1</v>
      </c>
      <c r="E479" s="24">
        <v>19</v>
      </c>
    </row>
    <row r="480" spans="2:5">
      <c r="B480" s="35">
        <v>2014</v>
      </c>
      <c r="C480" s="36" t="s">
        <v>16</v>
      </c>
      <c r="D480" s="23">
        <v>27.1</v>
      </c>
      <c r="E480" s="24">
        <v>23</v>
      </c>
    </row>
    <row r="481" spans="2:5">
      <c r="B481" s="35">
        <v>2014</v>
      </c>
      <c r="C481" s="36" t="s">
        <v>17</v>
      </c>
      <c r="D481" s="23">
        <v>22.6</v>
      </c>
      <c r="E481" s="24">
        <v>2</v>
      </c>
    </row>
    <row r="482" spans="2:5">
      <c r="B482" s="35">
        <v>2014</v>
      </c>
      <c r="C482" s="36" t="s">
        <v>18</v>
      </c>
      <c r="D482" s="23">
        <v>18.8</v>
      </c>
      <c r="E482" s="24">
        <v>1</v>
      </c>
    </row>
    <row r="483" spans="2:5">
      <c r="B483" s="35">
        <v>2014</v>
      </c>
      <c r="C483" s="36" t="s">
        <v>19</v>
      </c>
      <c r="D483" s="23">
        <v>14.1</v>
      </c>
      <c r="E483" s="24">
        <v>0</v>
      </c>
    </row>
    <row r="484" spans="2:5">
      <c r="B484" s="35">
        <v>2014</v>
      </c>
      <c r="C484" s="36" t="s">
        <v>20</v>
      </c>
      <c r="D484" s="23">
        <v>7.8</v>
      </c>
      <c r="E484" s="24">
        <v>0</v>
      </c>
    </row>
    <row r="485" spans="2:5">
      <c r="B485" s="35">
        <v>2015</v>
      </c>
      <c r="C485" s="36" t="s">
        <v>9</v>
      </c>
      <c r="D485" s="23">
        <v>6.5</v>
      </c>
      <c r="E485" s="24">
        <v>0</v>
      </c>
    </row>
    <row r="486" spans="2:5">
      <c r="B486" s="35">
        <v>2015</v>
      </c>
      <c r="C486" s="36" t="s">
        <v>10</v>
      </c>
      <c r="D486" s="23">
        <v>6.2</v>
      </c>
      <c r="E486" s="24">
        <v>0</v>
      </c>
    </row>
    <row r="487" spans="2:5">
      <c r="B487" s="35">
        <v>2015</v>
      </c>
      <c r="C487" s="36" t="s">
        <v>11</v>
      </c>
      <c r="D487" s="23">
        <v>10.5</v>
      </c>
      <c r="E487" s="24">
        <v>0</v>
      </c>
    </row>
    <row r="488" spans="2:5">
      <c r="B488" s="35">
        <v>2015</v>
      </c>
      <c r="C488" s="36" t="s">
        <v>12</v>
      </c>
      <c r="D488" s="23">
        <v>14.5</v>
      </c>
      <c r="E488" s="24">
        <v>0</v>
      </c>
    </row>
    <row r="489" spans="2:5">
      <c r="B489" s="35">
        <v>2015</v>
      </c>
      <c r="C489" s="36" t="s">
        <v>13</v>
      </c>
      <c r="D489" s="23">
        <v>21</v>
      </c>
      <c r="E489" s="24">
        <v>1</v>
      </c>
    </row>
    <row r="490" spans="2:5">
      <c r="B490" s="35">
        <v>2015</v>
      </c>
      <c r="C490" s="36" t="s">
        <v>14</v>
      </c>
      <c r="D490" s="23">
        <v>22.2</v>
      </c>
      <c r="E490" s="24">
        <v>0</v>
      </c>
    </row>
    <row r="491" spans="2:5">
      <c r="B491" s="35">
        <v>2015</v>
      </c>
      <c r="C491" s="36" t="s">
        <v>15</v>
      </c>
      <c r="D491" s="23">
        <v>26.3</v>
      </c>
      <c r="E491" s="24">
        <v>19</v>
      </c>
    </row>
    <row r="492" spans="2:5">
      <c r="B492" s="35">
        <v>2015</v>
      </c>
      <c r="C492" s="36" t="s">
        <v>16</v>
      </c>
      <c r="D492" s="23">
        <v>26.8</v>
      </c>
      <c r="E492" s="24">
        <v>21</v>
      </c>
    </row>
    <row r="493" spans="2:5">
      <c r="B493" s="35">
        <v>2015</v>
      </c>
      <c r="C493" s="36" t="s">
        <v>17</v>
      </c>
      <c r="D493" s="23">
        <v>23</v>
      </c>
      <c r="E493" s="24">
        <v>3</v>
      </c>
    </row>
    <row r="494" spans="2:5">
      <c r="B494" s="35">
        <v>2015</v>
      </c>
      <c r="C494" s="36" t="s">
        <v>18</v>
      </c>
      <c r="D494" s="23">
        <v>19</v>
      </c>
      <c r="E494" s="24">
        <v>0</v>
      </c>
    </row>
    <row r="495" spans="2:5">
      <c r="B495" s="35">
        <v>2015</v>
      </c>
      <c r="C495" s="36" t="s">
        <v>19</v>
      </c>
      <c r="D495" s="23">
        <v>14.7</v>
      </c>
      <c r="E495" s="24">
        <v>0</v>
      </c>
    </row>
    <row r="496" spans="2:5">
      <c r="B496" s="35">
        <v>2015</v>
      </c>
      <c r="C496" s="36" t="s">
        <v>20</v>
      </c>
      <c r="D496" s="23">
        <v>10.1</v>
      </c>
      <c r="E496" s="24">
        <v>0</v>
      </c>
    </row>
    <row r="497" spans="2:5">
      <c r="B497" s="35">
        <v>2016</v>
      </c>
      <c r="C497" s="36" t="s">
        <v>9</v>
      </c>
      <c r="D497" s="23">
        <v>6.7</v>
      </c>
      <c r="E497" s="24">
        <v>0</v>
      </c>
    </row>
    <row r="498" spans="2:5">
      <c r="B498" s="35">
        <v>2016</v>
      </c>
      <c r="C498" s="36" t="s">
        <v>10</v>
      </c>
      <c r="D498" s="23">
        <v>7.6</v>
      </c>
      <c r="E498" s="24">
        <v>0</v>
      </c>
    </row>
    <row r="499" spans="2:5">
      <c r="B499" s="35">
        <v>2016</v>
      </c>
      <c r="C499" s="36" t="s">
        <v>11</v>
      </c>
      <c r="D499" s="23">
        <v>10.3</v>
      </c>
      <c r="E499" s="24">
        <v>0</v>
      </c>
    </row>
    <row r="500" spans="2:5">
      <c r="B500" s="35">
        <v>2016</v>
      </c>
      <c r="C500" s="36" t="s">
        <v>12</v>
      </c>
      <c r="D500" s="23">
        <v>15.7</v>
      </c>
      <c r="E500" s="24">
        <v>0</v>
      </c>
    </row>
    <row r="501" spans="2:5">
      <c r="B501" s="35">
        <v>2016</v>
      </c>
      <c r="C501" s="36" t="s">
        <v>13</v>
      </c>
      <c r="D501" s="23">
        <v>20.100000000000001</v>
      </c>
      <c r="E501" s="24">
        <v>1</v>
      </c>
    </row>
    <row r="502" spans="2:5">
      <c r="B502" s="35">
        <v>2016</v>
      </c>
      <c r="C502" s="36" t="s">
        <v>14</v>
      </c>
      <c r="D502" s="23">
        <v>22.6</v>
      </c>
      <c r="E502" s="24">
        <v>1</v>
      </c>
    </row>
    <row r="503" spans="2:5">
      <c r="B503" s="35">
        <v>2016</v>
      </c>
      <c r="C503" s="36" t="s">
        <v>15</v>
      </c>
      <c r="D503" s="23">
        <v>25.4</v>
      </c>
      <c r="E503" s="24">
        <v>14</v>
      </c>
    </row>
    <row r="504" spans="2:5">
      <c r="B504" s="35">
        <v>2016</v>
      </c>
      <c r="C504" s="36" t="s">
        <v>16</v>
      </c>
      <c r="D504" s="23">
        <v>27.3</v>
      </c>
      <c r="E504" s="24">
        <v>24</v>
      </c>
    </row>
    <row r="505" spans="2:5">
      <c r="B505" s="35">
        <v>2016</v>
      </c>
      <c r="C505" s="36" t="s">
        <v>17</v>
      </c>
      <c r="D505" s="23">
        <v>24.9</v>
      </c>
      <c r="E505" s="24">
        <v>11</v>
      </c>
    </row>
    <row r="506" spans="2:5">
      <c r="B506" s="35">
        <v>2016</v>
      </c>
      <c r="C506" s="36" t="s">
        <v>18</v>
      </c>
      <c r="D506" s="23">
        <v>19.399999999999999</v>
      </c>
      <c r="E506" s="24">
        <v>2</v>
      </c>
    </row>
    <row r="507" spans="2:5">
      <c r="B507" s="35">
        <v>2016</v>
      </c>
      <c r="C507" s="36" t="s">
        <v>19</v>
      </c>
      <c r="D507" s="23">
        <v>12.1</v>
      </c>
      <c r="E507" s="24">
        <v>0</v>
      </c>
    </row>
    <row r="508" spans="2:5">
      <c r="B508" s="35">
        <v>2016</v>
      </c>
      <c r="C508" s="36" t="s">
        <v>20</v>
      </c>
      <c r="D508" s="23">
        <v>9.9</v>
      </c>
      <c r="E508" s="24">
        <v>0</v>
      </c>
    </row>
    <row r="509" spans="2:5">
      <c r="B509" s="35">
        <v>2017</v>
      </c>
      <c r="C509" s="36" t="s">
        <v>9</v>
      </c>
      <c r="D509" s="23">
        <v>6.7</v>
      </c>
      <c r="E509" s="24">
        <v>0</v>
      </c>
    </row>
    <row r="510" spans="2:5">
      <c r="B510" s="35">
        <v>2017</v>
      </c>
      <c r="C510" s="36" t="s">
        <v>10</v>
      </c>
      <c r="D510" s="23">
        <v>7.4</v>
      </c>
      <c r="E510" s="24">
        <v>0</v>
      </c>
    </row>
    <row r="511" spans="2:5">
      <c r="B511" s="35">
        <v>2017</v>
      </c>
      <c r="C511" s="36" t="s">
        <v>11</v>
      </c>
      <c r="D511" s="23">
        <v>8.8000000000000007</v>
      </c>
      <c r="E511" s="24">
        <v>0</v>
      </c>
    </row>
    <row r="512" spans="2:5">
      <c r="B512" s="35">
        <v>2017</v>
      </c>
      <c r="C512" s="36" t="s">
        <v>12</v>
      </c>
      <c r="D512" s="23">
        <v>14.8</v>
      </c>
      <c r="E512" s="24">
        <v>0</v>
      </c>
    </row>
    <row r="513" spans="2:5">
      <c r="B513" s="35">
        <v>2017</v>
      </c>
      <c r="C513" s="36" t="s">
        <v>13</v>
      </c>
      <c r="D513" s="23">
        <v>19.899999999999999</v>
      </c>
      <c r="E513" s="24">
        <v>0</v>
      </c>
    </row>
    <row r="514" spans="2:5">
      <c r="B514" s="35">
        <v>2017</v>
      </c>
      <c r="C514" s="36" t="s">
        <v>14</v>
      </c>
      <c r="D514" s="23">
        <v>22.1</v>
      </c>
      <c r="E514" s="24">
        <v>2</v>
      </c>
    </row>
    <row r="515" spans="2:5">
      <c r="B515" s="35">
        <v>2017</v>
      </c>
      <c r="C515" s="36" t="s">
        <v>15</v>
      </c>
      <c r="D515" s="23">
        <v>27.4</v>
      </c>
      <c r="E515" s="24">
        <v>27</v>
      </c>
    </row>
    <row r="516" spans="2:5">
      <c r="B516" s="35">
        <v>2017</v>
      </c>
      <c r="C516" s="36" t="s">
        <v>16</v>
      </c>
      <c r="D516" s="23">
        <v>26.7</v>
      </c>
      <c r="E516" s="24">
        <v>19</v>
      </c>
    </row>
    <row r="517" spans="2:5">
      <c r="B517" s="35">
        <v>2017</v>
      </c>
      <c r="C517" s="36" t="s">
        <v>17</v>
      </c>
      <c r="D517" s="23">
        <v>23.3</v>
      </c>
      <c r="E517" s="24">
        <v>5</v>
      </c>
    </row>
    <row r="518" spans="2:5">
      <c r="B518" s="35">
        <v>2017</v>
      </c>
      <c r="C518" s="36" t="s">
        <v>18</v>
      </c>
      <c r="D518" s="23">
        <v>17.5</v>
      </c>
      <c r="E518" s="24">
        <v>0</v>
      </c>
    </row>
    <row r="519" spans="2:5">
      <c r="B519" s="35">
        <v>2017</v>
      </c>
      <c r="C519" s="36" t="s">
        <v>19</v>
      </c>
      <c r="D519" s="23">
        <v>13.1</v>
      </c>
      <c r="E519" s="24">
        <v>0</v>
      </c>
    </row>
    <row r="520" spans="2:5">
      <c r="B520" s="35">
        <v>2017</v>
      </c>
      <c r="C520" s="36" t="s">
        <v>20</v>
      </c>
      <c r="D520" s="23">
        <v>7.8</v>
      </c>
      <c r="E520" s="24">
        <v>0</v>
      </c>
    </row>
    <row r="521" spans="2:5">
      <c r="B521" s="35">
        <v>2018</v>
      </c>
      <c r="C521" s="36" t="s">
        <v>9</v>
      </c>
      <c r="D521" s="23">
        <v>5.6</v>
      </c>
      <c r="E521" s="24">
        <v>0</v>
      </c>
    </row>
    <row r="522" spans="2:5">
      <c r="B522" s="35">
        <v>2018</v>
      </c>
      <c r="C522" s="36" t="s">
        <v>10</v>
      </c>
      <c r="D522" s="23">
        <v>5.8</v>
      </c>
      <c r="E522" s="24">
        <v>0</v>
      </c>
    </row>
    <row r="523" spans="2:5">
      <c r="B523" s="35">
        <v>2018</v>
      </c>
      <c r="C523" s="36" t="s">
        <v>11</v>
      </c>
      <c r="D523" s="23">
        <v>11.9</v>
      </c>
      <c r="E523" s="24">
        <v>0</v>
      </c>
    </row>
    <row r="524" spans="2:5">
      <c r="B524" s="35">
        <v>2018</v>
      </c>
      <c r="C524" s="36" t="s">
        <v>12</v>
      </c>
      <c r="D524" s="23">
        <v>17.2</v>
      </c>
      <c r="E524" s="24">
        <v>0</v>
      </c>
    </row>
    <row r="525" spans="2:5">
      <c r="B525" s="35">
        <v>2018</v>
      </c>
      <c r="C525" s="36" t="s">
        <v>13</v>
      </c>
      <c r="D525" s="23">
        <v>20</v>
      </c>
      <c r="E525" s="24">
        <v>0</v>
      </c>
    </row>
    <row r="526" spans="2:5">
      <c r="B526" s="35">
        <v>2018</v>
      </c>
      <c r="C526" s="36" t="s">
        <v>14</v>
      </c>
      <c r="D526" s="23">
        <v>22.5</v>
      </c>
      <c r="E526" s="24">
        <v>4</v>
      </c>
    </row>
    <row r="527" spans="2:5">
      <c r="B527" s="35">
        <v>2018</v>
      </c>
      <c r="C527" s="36" t="s">
        <v>15</v>
      </c>
      <c r="D527" s="23">
        <v>28.2</v>
      </c>
      <c r="E527" s="24">
        <v>27</v>
      </c>
    </row>
    <row r="528" spans="2:5">
      <c r="B528" s="35">
        <v>2018</v>
      </c>
      <c r="C528" s="36" t="s">
        <v>16</v>
      </c>
      <c r="D528" s="23">
        <v>28.1</v>
      </c>
      <c r="E528" s="24">
        <v>25</v>
      </c>
    </row>
    <row r="529" spans="2:5">
      <c r="B529" s="35">
        <v>2018</v>
      </c>
      <c r="C529" s="36" t="s">
        <v>17</v>
      </c>
      <c r="D529" s="23">
        <v>23.5</v>
      </c>
      <c r="E529" s="24">
        <v>8</v>
      </c>
    </row>
    <row r="530" spans="2:5">
      <c r="B530" s="35">
        <v>2018</v>
      </c>
      <c r="C530" s="36" t="s">
        <v>18</v>
      </c>
      <c r="D530" s="23">
        <v>19.7</v>
      </c>
      <c r="E530" s="24">
        <v>2</v>
      </c>
    </row>
    <row r="531" spans="2:5">
      <c r="B531" s="35">
        <v>2018</v>
      </c>
      <c r="C531" s="36" t="s">
        <v>19</v>
      </c>
      <c r="D531" s="23">
        <v>14.6</v>
      </c>
      <c r="E531" s="24">
        <v>0</v>
      </c>
    </row>
    <row r="532" spans="2:5">
      <c r="B532" s="35">
        <v>2018</v>
      </c>
      <c r="C532" s="36" t="s">
        <v>20</v>
      </c>
      <c r="D532" s="23">
        <v>8.9</v>
      </c>
      <c r="E532" s="24">
        <v>0</v>
      </c>
    </row>
    <row r="533" spans="2:5">
      <c r="B533" s="35">
        <v>2019</v>
      </c>
      <c r="C533" s="36" t="s">
        <v>9</v>
      </c>
      <c r="D533" s="23">
        <v>6.3</v>
      </c>
      <c r="E533" s="24">
        <v>0</v>
      </c>
    </row>
    <row r="534" spans="2:5">
      <c r="B534" s="35">
        <v>2019</v>
      </c>
      <c r="C534" s="36" t="s">
        <v>10</v>
      </c>
      <c r="D534" s="23">
        <v>7.6</v>
      </c>
      <c r="E534" s="24">
        <v>0</v>
      </c>
    </row>
    <row r="535" spans="2:5">
      <c r="B535" s="35">
        <v>2019</v>
      </c>
      <c r="C535" s="36" t="s">
        <v>11</v>
      </c>
      <c r="D535" s="23">
        <v>10.9</v>
      </c>
      <c r="E535" s="24">
        <v>0</v>
      </c>
    </row>
    <row r="536" spans="2:5">
      <c r="B536" s="35">
        <v>2019</v>
      </c>
      <c r="C536" s="36" t="s">
        <v>12</v>
      </c>
      <c r="D536" s="23">
        <v>13.8</v>
      </c>
      <c r="E536" s="24">
        <v>0</v>
      </c>
    </row>
    <row r="537" spans="2:5">
      <c r="B537" s="35">
        <v>2019</v>
      </c>
      <c r="C537" s="36" t="s">
        <v>13</v>
      </c>
      <c r="D537" s="23">
        <v>20</v>
      </c>
      <c r="E537" s="24">
        <v>3</v>
      </c>
    </row>
    <row r="538" spans="2:5">
      <c r="B538" s="35">
        <v>2019</v>
      </c>
      <c r="C538" s="36" t="s">
        <v>14</v>
      </c>
      <c r="D538" s="23">
        <v>22</v>
      </c>
      <c r="E538" s="24">
        <v>1</v>
      </c>
    </row>
    <row r="539" spans="2:5">
      <c r="B539" s="35">
        <v>2019</v>
      </c>
      <c r="C539" s="36" t="s">
        <v>15</v>
      </c>
      <c r="D539" s="23">
        <v>24.3</v>
      </c>
      <c r="E539" s="24">
        <v>9</v>
      </c>
    </row>
    <row r="540" spans="2:5">
      <c r="B540" s="35">
        <v>2019</v>
      </c>
      <c r="C540" s="36" t="s">
        <v>16</v>
      </c>
      <c r="D540" s="23">
        <v>28.5</v>
      </c>
      <c r="E540" s="24">
        <v>27</v>
      </c>
    </row>
    <row r="541" spans="2:5">
      <c r="B541" s="35">
        <v>2019</v>
      </c>
      <c r="C541" s="36" t="s">
        <v>17</v>
      </c>
      <c r="D541" s="23">
        <v>25.2</v>
      </c>
      <c r="E541" s="24">
        <v>12</v>
      </c>
    </row>
    <row r="542" spans="2:5">
      <c r="B542" s="35">
        <v>2019</v>
      </c>
      <c r="C542" s="36" t="s">
        <v>18</v>
      </c>
      <c r="D542" s="23">
        <v>20.100000000000001</v>
      </c>
      <c r="E542" s="24">
        <v>2</v>
      </c>
    </row>
    <row r="543" spans="2:5">
      <c r="B543" s="35">
        <v>2019</v>
      </c>
      <c r="C543" s="36" t="s">
        <v>19</v>
      </c>
      <c r="D543" s="23">
        <v>14</v>
      </c>
      <c r="E543" s="24">
        <v>0</v>
      </c>
    </row>
    <row r="544" spans="2:5">
      <c r="B544" s="35">
        <v>2019</v>
      </c>
      <c r="C544" s="36" t="s">
        <v>20</v>
      </c>
      <c r="D544" s="23">
        <v>9.4</v>
      </c>
      <c r="E544" s="24">
        <v>0</v>
      </c>
    </row>
    <row r="545" spans="2:5">
      <c r="B545" s="35">
        <v>2020</v>
      </c>
      <c r="C545" s="36" t="s">
        <v>9</v>
      </c>
      <c r="D545" s="23">
        <v>7.7</v>
      </c>
      <c r="E545" s="24">
        <v>0</v>
      </c>
    </row>
    <row r="546" spans="2:5">
      <c r="B546" s="35">
        <v>2020</v>
      </c>
      <c r="C546" s="36" t="s">
        <v>10</v>
      </c>
      <c r="D546" s="23">
        <v>8.9</v>
      </c>
      <c r="E546" s="24">
        <v>0</v>
      </c>
    </row>
    <row r="547" spans="2:5">
      <c r="B547" s="35">
        <v>2020</v>
      </c>
      <c r="C547" s="36" t="s">
        <v>11</v>
      </c>
      <c r="D547" s="23">
        <v>11.2</v>
      </c>
      <c r="E547" s="24">
        <v>0</v>
      </c>
    </row>
    <row r="548" spans="2:5">
      <c r="B548" s="35">
        <v>2020</v>
      </c>
      <c r="C548" s="36" t="s">
        <v>12</v>
      </c>
      <c r="D548" s="23">
        <v>13.4</v>
      </c>
      <c r="E548" s="24">
        <v>0</v>
      </c>
    </row>
    <row r="549" spans="2:5">
      <c r="B549" s="35">
        <v>2020</v>
      </c>
      <c r="C549" s="36" t="s">
        <v>13</v>
      </c>
      <c r="D549" s="23">
        <v>19.7</v>
      </c>
      <c r="E549" s="24">
        <v>0</v>
      </c>
    </row>
    <row r="550" spans="2:5">
      <c r="B550" s="35">
        <v>2020</v>
      </c>
      <c r="C550" s="36" t="s">
        <v>14</v>
      </c>
      <c r="D550" s="23">
        <v>23.4</v>
      </c>
      <c r="E550" s="24">
        <v>3</v>
      </c>
    </row>
    <row r="551" spans="2:5">
      <c r="B551" s="35">
        <v>2020</v>
      </c>
      <c r="C551" s="36" t="s">
        <v>15</v>
      </c>
      <c r="D551" s="23">
        <v>24.7</v>
      </c>
      <c r="E551" s="24">
        <v>7</v>
      </c>
    </row>
    <row r="552" spans="2:5">
      <c r="B552" s="35">
        <v>2020</v>
      </c>
      <c r="C552" s="36" t="s">
        <v>16</v>
      </c>
      <c r="D552" s="23">
        <v>29</v>
      </c>
      <c r="E552" s="24">
        <v>30</v>
      </c>
    </row>
    <row r="553" spans="2:5">
      <c r="B553" s="35">
        <v>2020</v>
      </c>
      <c r="C553" s="36" t="s">
        <v>17</v>
      </c>
      <c r="D553" s="23">
        <v>24.7</v>
      </c>
      <c r="E553" s="24">
        <v>11</v>
      </c>
    </row>
    <row r="554" spans="2:5">
      <c r="B554" s="35">
        <v>2020</v>
      </c>
      <c r="C554" s="36" t="s">
        <v>18</v>
      </c>
      <c r="D554" s="23">
        <v>18</v>
      </c>
      <c r="E554" s="24">
        <v>0</v>
      </c>
    </row>
    <row r="555" spans="2:5">
      <c r="B555" s="35">
        <v>2020</v>
      </c>
      <c r="C555" s="36" t="s">
        <v>19</v>
      </c>
      <c r="D555" s="23">
        <v>14.7</v>
      </c>
      <c r="E555" s="24">
        <v>0</v>
      </c>
    </row>
    <row r="556" spans="2:5">
      <c r="B556" s="35">
        <v>2020</v>
      </c>
      <c r="C556" s="36" t="s">
        <v>20</v>
      </c>
      <c r="D556" s="23">
        <v>8.5</v>
      </c>
      <c r="E556" s="24">
        <v>0</v>
      </c>
    </row>
    <row r="557" spans="2:5">
      <c r="B557" s="35">
        <v>2021</v>
      </c>
      <c r="C557" s="36" t="s">
        <v>9</v>
      </c>
      <c r="D557" s="23">
        <v>6</v>
      </c>
      <c r="E557" s="24">
        <v>0</v>
      </c>
    </row>
    <row r="558" spans="2:5">
      <c r="B558" s="35">
        <v>2021</v>
      </c>
      <c r="C558" s="36" t="s">
        <v>10</v>
      </c>
      <c r="D558" s="23">
        <v>9.1999999999999993</v>
      </c>
      <c r="E558" s="24">
        <v>0</v>
      </c>
    </row>
    <row r="559" spans="2:5">
      <c r="B559" s="35">
        <v>2021</v>
      </c>
      <c r="C559" s="36" t="s">
        <v>11</v>
      </c>
      <c r="D559" s="23">
        <v>13.2</v>
      </c>
      <c r="E559" s="24">
        <v>0</v>
      </c>
    </row>
    <row r="560" spans="2:5">
      <c r="B560" s="35">
        <v>2021</v>
      </c>
      <c r="C560" s="36" t="s">
        <v>12</v>
      </c>
      <c r="D560" s="23">
        <v>15.3</v>
      </c>
      <c r="E560" s="24">
        <v>0</v>
      </c>
    </row>
    <row r="561" spans="2:5">
      <c r="B561" s="35">
        <v>2021</v>
      </c>
      <c r="C561" s="36" t="s">
        <v>13</v>
      </c>
      <c r="D561" s="23">
        <v>20</v>
      </c>
      <c r="E561" s="24">
        <v>0</v>
      </c>
    </row>
    <row r="562" spans="2:5">
      <c r="B562" s="35">
        <v>2021</v>
      </c>
      <c r="C562" s="36" t="s">
        <v>14</v>
      </c>
      <c r="D562" s="23">
        <v>22.8</v>
      </c>
      <c r="E562" s="24">
        <v>1</v>
      </c>
    </row>
    <row r="563" spans="2:5">
      <c r="B563" s="35">
        <v>2021</v>
      </c>
      <c r="C563" s="36" t="s">
        <v>15</v>
      </c>
      <c r="D563" s="23">
        <v>26</v>
      </c>
      <c r="E563" s="24">
        <v>20</v>
      </c>
    </row>
    <row r="564" spans="2:5">
      <c r="B564" s="35">
        <v>2021</v>
      </c>
      <c r="C564" s="36" t="s">
        <v>16</v>
      </c>
      <c r="D564" s="23">
        <v>27.7</v>
      </c>
      <c r="E564" s="24">
        <v>23</v>
      </c>
    </row>
    <row r="565" spans="2:5">
      <c r="B565" s="35">
        <v>2021</v>
      </c>
      <c r="C565" s="36" t="s">
        <v>17</v>
      </c>
      <c r="D565" s="23">
        <v>22.8</v>
      </c>
      <c r="E565" s="24">
        <v>2</v>
      </c>
    </row>
    <row r="566" spans="2:5">
      <c r="B566" s="35">
        <v>2021</v>
      </c>
      <c r="C566" s="36" t="s">
        <v>18</v>
      </c>
      <c r="D566" s="23">
        <v>18.8</v>
      </c>
      <c r="E566" s="24">
        <v>0</v>
      </c>
    </row>
    <row r="567" spans="2:5">
      <c r="B567" s="35">
        <v>2021</v>
      </c>
      <c r="C567" s="36" t="s">
        <v>19</v>
      </c>
      <c r="D567" s="23">
        <v>14.7</v>
      </c>
      <c r="E567" s="24">
        <v>0</v>
      </c>
    </row>
    <row r="568" spans="2:5">
      <c r="B568" s="35">
        <v>2021</v>
      </c>
      <c r="C568" s="36" t="s">
        <v>20</v>
      </c>
      <c r="D568" s="23">
        <v>8.6999999999999993</v>
      </c>
      <c r="E568" s="24">
        <v>0</v>
      </c>
    </row>
    <row r="569" spans="2:5">
      <c r="B569" s="35">
        <v>2022</v>
      </c>
      <c r="C569" s="36" t="s">
        <v>9</v>
      </c>
      <c r="D569" s="23">
        <v>5.5</v>
      </c>
      <c r="E569" s="24">
        <v>0</v>
      </c>
    </row>
    <row r="570" spans="2:5">
      <c r="B570" s="35">
        <v>2022</v>
      </c>
      <c r="C570" s="36" t="s">
        <v>10</v>
      </c>
      <c r="D570" s="23">
        <v>5.9</v>
      </c>
      <c r="E570" s="24">
        <v>0</v>
      </c>
    </row>
    <row r="571" spans="2:5">
      <c r="B571" s="35">
        <v>2022</v>
      </c>
      <c r="C571" s="36" t="s">
        <v>11</v>
      </c>
      <c r="D571" s="23">
        <v>10.9</v>
      </c>
      <c r="E571" s="24">
        <v>0</v>
      </c>
    </row>
    <row r="572" spans="2:5">
      <c r="B572" s="35">
        <v>2022</v>
      </c>
      <c r="C572" s="36" t="s">
        <v>12</v>
      </c>
      <c r="D572" s="23">
        <v>15.3</v>
      </c>
      <c r="E572" s="24">
        <v>0</v>
      </c>
    </row>
    <row r="573" spans="2:5">
      <c r="B573" s="35">
        <v>2022</v>
      </c>
      <c r="C573" s="36" t="s">
        <v>13</v>
      </c>
      <c r="D573" s="23">
        <v>19</v>
      </c>
      <c r="E573" s="24">
        <v>0</v>
      </c>
    </row>
    <row r="574" spans="2:5">
      <c r="B574" s="35">
        <v>2022</v>
      </c>
      <c r="C574" s="36" t="s">
        <v>14</v>
      </c>
      <c r="D574" s="23">
        <v>22.8</v>
      </c>
      <c r="E574" s="24">
        <v>7</v>
      </c>
    </row>
    <row r="575" spans="2:5">
      <c r="B575" s="35">
        <v>2022</v>
      </c>
      <c r="C575" s="36" t="s">
        <v>15</v>
      </c>
      <c r="D575" s="23">
        <v>27.4</v>
      </c>
      <c r="E575" s="24">
        <v>19</v>
      </c>
    </row>
    <row r="576" spans="2:5">
      <c r="B576" s="35">
        <v>2022</v>
      </c>
      <c r="C576" s="36" t="s">
        <v>16</v>
      </c>
      <c r="D576" s="23">
        <v>27.7</v>
      </c>
      <c r="E576" s="24">
        <v>22</v>
      </c>
    </row>
    <row r="577" spans="2:5">
      <c r="B577" s="35">
        <v>2022</v>
      </c>
      <c r="C577" s="36" t="s">
        <v>17</v>
      </c>
      <c r="D577" s="23">
        <v>24.8</v>
      </c>
      <c r="E577" s="24">
        <v>12</v>
      </c>
    </row>
    <row r="578" spans="2:5">
      <c r="B578" s="35">
        <v>2022</v>
      </c>
      <c r="C578" s="36" t="s">
        <v>18</v>
      </c>
      <c r="D578" s="23">
        <v>17.899999999999999</v>
      </c>
      <c r="E578" s="24">
        <v>0</v>
      </c>
    </row>
    <row r="579" spans="2:5">
      <c r="B579" s="35">
        <v>2022</v>
      </c>
      <c r="C579" s="36" t="s">
        <v>19</v>
      </c>
      <c r="D579" s="23">
        <v>15.2</v>
      </c>
      <c r="E579" s="24">
        <v>0</v>
      </c>
    </row>
    <row r="580" spans="2:5">
      <c r="B580" s="35">
        <v>2022</v>
      </c>
      <c r="C580" s="36" t="s">
        <v>20</v>
      </c>
      <c r="D580" s="23">
        <v>8.4</v>
      </c>
      <c r="E580" s="24">
        <v>0</v>
      </c>
    </row>
    <row r="581" spans="2:5">
      <c r="B581" s="35">
        <v>2023</v>
      </c>
      <c r="C581" s="36" t="s">
        <v>9</v>
      </c>
      <c r="D581" s="23">
        <v>6.3</v>
      </c>
      <c r="E581" s="24">
        <v>0</v>
      </c>
    </row>
    <row r="582" spans="2:5">
      <c r="B582" s="35">
        <v>2023</v>
      </c>
      <c r="C582" s="36" t="s">
        <v>10</v>
      </c>
      <c r="D582" s="23">
        <v>7.8</v>
      </c>
      <c r="E582" s="24">
        <v>0</v>
      </c>
    </row>
    <row r="583" spans="2:5">
      <c r="B583" s="35">
        <v>2023</v>
      </c>
      <c r="C583" s="36" t="s">
        <v>11</v>
      </c>
      <c r="D583" s="23">
        <v>13.2</v>
      </c>
      <c r="E583" s="24">
        <v>0</v>
      </c>
    </row>
    <row r="584" spans="2:5">
      <c r="B584" s="35">
        <v>2023</v>
      </c>
      <c r="C584" s="36" t="s">
        <v>12</v>
      </c>
      <c r="D584" s="23">
        <v>16.7</v>
      </c>
      <c r="E584" s="24">
        <v>0</v>
      </c>
    </row>
    <row r="585" spans="2:5">
      <c r="B585" s="35">
        <v>2023</v>
      </c>
      <c r="C585" s="36" t="s">
        <v>13</v>
      </c>
      <c r="D585" s="23">
        <v>19.3</v>
      </c>
      <c r="E585" s="24">
        <v>1</v>
      </c>
    </row>
    <row r="586" spans="2:5">
      <c r="B586" s="35">
        <v>2023</v>
      </c>
      <c r="C586" s="36" t="s">
        <v>14</v>
      </c>
      <c r="D586" s="23">
        <v>23.5</v>
      </c>
      <c r="E586" s="24">
        <v>5</v>
      </c>
    </row>
    <row r="587" spans="2:5">
      <c r="B587" s="35">
        <v>2023</v>
      </c>
      <c r="C587" s="36" t="s">
        <v>15</v>
      </c>
      <c r="D587" s="23">
        <v>28.3</v>
      </c>
      <c r="E587" s="24">
        <v>29</v>
      </c>
    </row>
    <row r="588" spans="2:5">
      <c r="B588" s="35">
        <v>2023</v>
      </c>
      <c r="C588" s="36" t="s">
        <v>16</v>
      </c>
      <c r="D588" s="23">
        <v>29.4</v>
      </c>
      <c r="E588" s="24">
        <v>31</v>
      </c>
    </row>
    <row r="589" spans="2:5">
      <c r="B589" s="35">
        <v>2023</v>
      </c>
      <c r="C589" s="36" t="s">
        <v>17</v>
      </c>
      <c r="D589" s="23">
        <v>27.1</v>
      </c>
      <c r="E589" s="24">
        <v>20</v>
      </c>
    </row>
    <row r="590" spans="2:5">
      <c r="B590" s="35">
        <v>2023</v>
      </c>
      <c r="C590" s="36" t="s">
        <v>18</v>
      </c>
      <c r="D590" s="23">
        <v>19.7</v>
      </c>
      <c r="E590" s="24">
        <v>1</v>
      </c>
    </row>
    <row r="591" spans="2:5">
      <c r="B591" s="35">
        <v>2023</v>
      </c>
      <c r="C591" s="36" t="s">
        <v>19</v>
      </c>
      <c r="D591" s="23">
        <v>15.5</v>
      </c>
      <c r="E591" s="24">
        <v>0</v>
      </c>
    </row>
    <row r="592" spans="2:5">
      <c r="B592" s="35">
        <v>2023</v>
      </c>
      <c r="C592" s="36" t="s">
        <v>20</v>
      </c>
      <c r="D592" s="23">
        <v>10.199999999999999</v>
      </c>
      <c r="E592" s="24">
        <v>0</v>
      </c>
    </row>
    <row r="593" spans="2:5">
      <c r="B593" s="35">
        <v>2024</v>
      </c>
      <c r="C593" s="36" t="s">
        <v>9</v>
      </c>
      <c r="D593" s="23">
        <v>7.9</v>
      </c>
      <c r="E593" s="24">
        <v>0</v>
      </c>
    </row>
    <row r="594" spans="2:5">
      <c r="B594" s="35">
        <v>2024</v>
      </c>
      <c r="C594" s="36" t="s">
        <v>10</v>
      </c>
      <c r="D594" s="23">
        <v>8.3000000000000007</v>
      </c>
      <c r="E594" s="24">
        <v>0</v>
      </c>
    </row>
    <row r="595" spans="2:5">
      <c r="B595" s="35">
        <v>2024</v>
      </c>
      <c r="C595" s="36" t="s">
        <v>11</v>
      </c>
      <c r="D595" s="23">
        <v>10.1</v>
      </c>
      <c r="E595" s="24">
        <v>0</v>
      </c>
    </row>
    <row r="596" spans="2:5">
      <c r="B596" s="35">
        <v>2024</v>
      </c>
      <c r="C596" s="36" t="s">
        <v>12</v>
      </c>
      <c r="D596" s="23">
        <v>17</v>
      </c>
      <c r="E596" s="24">
        <v>0</v>
      </c>
    </row>
    <row r="597" spans="2:5">
      <c r="B597" s="35">
        <v>2024</v>
      </c>
      <c r="C597" s="36" t="s">
        <v>13</v>
      </c>
      <c r="D597" s="23">
        <v>20.100000000000001</v>
      </c>
      <c r="E597" s="24">
        <v>0</v>
      </c>
    </row>
    <row r="598" spans="2:5">
      <c r="B598" s="35">
        <v>2024</v>
      </c>
      <c r="C598" s="36" t="s">
        <v>14</v>
      </c>
      <c r="D598" s="23">
        <v>23.2</v>
      </c>
      <c r="E598" s="24">
        <v>4</v>
      </c>
    </row>
    <row r="599" spans="2:5">
      <c r="B599" s="35">
        <v>2024</v>
      </c>
      <c r="C599" s="36" t="s">
        <v>15</v>
      </c>
      <c r="D599" s="23">
        <v>28.8</v>
      </c>
      <c r="E599" s="24">
        <v>26</v>
      </c>
    </row>
    <row r="600" spans="2:5">
      <c r="B600" s="35">
        <v>2024</v>
      </c>
      <c r="C600" s="36" t="s">
        <v>16</v>
      </c>
      <c r="D600" s="23">
        <v>29.2</v>
      </c>
      <c r="E600" s="24">
        <v>29</v>
      </c>
    </row>
    <row r="601" spans="2:5">
      <c r="B601" s="35">
        <v>2024</v>
      </c>
      <c r="C601" s="36" t="s">
        <v>17</v>
      </c>
      <c r="D601" s="23">
        <v>27</v>
      </c>
      <c r="E601" s="24">
        <v>19</v>
      </c>
    </row>
    <row r="602" spans="2:5">
      <c r="B602" s="35">
        <v>2024</v>
      </c>
      <c r="C602" s="36" t="s">
        <v>18</v>
      </c>
      <c r="D602" s="23">
        <v>21.2</v>
      </c>
      <c r="E602" s="24">
        <v>2</v>
      </c>
    </row>
    <row r="603" spans="2:5">
      <c r="B603" s="35">
        <v>2024</v>
      </c>
      <c r="C603" s="36" t="s">
        <v>19</v>
      </c>
      <c r="D603" s="23">
        <v>14.6</v>
      </c>
      <c r="E603" s="24">
        <v>0</v>
      </c>
    </row>
    <row r="604" spans="2:5" ht="16" thickBot="1">
      <c r="B604" s="37">
        <v>2024</v>
      </c>
      <c r="C604" s="38" t="s">
        <v>20</v>
      </c>
      <c r="D604" s="26">
        <v>9</v>
      </c>
      <c r="E604" s="27">
        <v>0</v>
      </c>
    </row>
    <row r="605" spans="2:5" ht="16" thickTop="1"/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5DFF-0D90-4D70-AD2F-850678BDB105}">
  <dimension ref="C2:L47"/>
  <sheetViews>
    <sheetView showGridLines="0" zoomScale="70" zoomScaleNormal="70" workbookViewId="0"/>
  </sheetViews>
  <sheetFormatPr baseColWidth="10" defaultColWidth="8.6640625" defaultRowHeight="15" customHeight="1"/>
  <cols>
    <col min="1" max="1" width="8.6640625" style="1"/>
    <col min="2" max="4" width="3.5" style="1" customWidth="1"/>
    <col min="5" max="12" width="8.6640625" style="1"/>
    <col min="13" max="13" width="3.5" style="1" customWidth="1"/>
    <col min="14" max="16384" width="8.6640625" style="1"/>
  </cols>
  <sheetData>
    <row r="2" spans="3:12" ht="15" customHeight="1">
      <c r="C2" s="92" t="s">
        <v>2</v>
      </c>
      <c r="D2" s="92"/>
      <c r="E2" s="92"/>
      <c r="F2" s="92"/>
      <c r="G2" s="92"/>
      <c r="H2" s="92"/>
      <c r="I2" s="92"/>
      <c r="J2" s="92"/>
      <c r="K2" s="92"/>
      <c r="L2" s="92"/>
    </row>
    <row r="3" spans="3:12" ht="15" customHeight="1" thickBot="1"/>
    <row r="4" spans="3:12" ht="15" customHeight="1" thickTop="1">
      <c r="C4" s="13"/>
      <c r="D4" s="14" t="s">
        <v>3</v>
      </c>
      <c r="E4" s="95">
        <v>0.25</v>
      </c>
      <c r="F4" s="95">
        <v>0.2</v>
      </c>
      <c r="G4" s="95">
        <v>0.1</v>
      </c>
      <c r="H4" s="95">
        <v>0.05</v>
      </c>
      <c r="I4" s="95">
        <v>2.5000000000000001E-2</v>
      </c>
      <c r="J4" s="95">
        <v>0.01</v>
      </c>
      <c r="K4" s="95">
        <v>5.0000000000000001E-3</v>
      </c>
      <c r="L4" s="97">
        <v>5.0000000000000001E-4</v>
      </c>
    </row>
    <row r="5" spans="3:12" ht="15" customHeight="1">
      <c r="C5" s="15" t="s">
        <v>4</v>
      </c>
      <c r="D5" s="16"/>
      <c r="E5" s="96"/>
      <c r="F5" s="96"/>
      <c r="G5" s="96"/>
      <c r="H5" s="96"/>
      <c r="I5" s="96"/>
      <c r="J5" s="96"/>
      <c r="K5" s="96"/>
      <c r="L5" s="98"/>
    </row>
    <row r="6" spans="3:12" ht="15" customHeight="1">
      <c r="C6" s="93">
        <v>1</v>
      </c>
      <c r="D6" s="94"/>
      <c r="E6" s="3">
        <f t="shared" ref="E6:L10" si="0">ABS(_xlfn.T.INV(E$4,$C6))</f>
        <v>1.0000000000000002</v>
      </c>
      <c r="F6" s="3">
        <f t="shared" si="0"/>
        <v>1.3763819204711736</v>
      </c>
      <c r="G6" s="3">
        <f t="shared" si="0"/>
        <v>3.077683537175254</v>
      </c>
      <c r="H6" s="3">
        <f t="shared" si="0"/>
        <v>6.3137515146750438</v>
      </c>
      <c r="I6" s="3">
        <f t="shared" si="0"/>
        <v>12.706204736174703</v>
      </c>
      <c r="J6" s="3">
        <f t="shared" si="0"/>
        <v>31.820515953773963</v>
      </c>
      <c r="K6" s="3">
        <f t="shared" si="0"/>
        <v>63.656741162871583</v>
      </c>
      <c r="L6" s="17">
        <f t="shared" si="0"/>
        <v>636.61924876871956</v>
      </c>
    </row>
    <row r="7" spans="3:12" ht="15" customHeight="1">
      <c r="C7" s="93">
        <v>2</v>
      </c>
      <c r="D7" s="94"/>
      <c r="E7" s="3">
        <f t="shared" si="0"/>
        <v>0.81649658092772592</v>
      </c>
      <c r="F7" s="3">
        <f t="shared" si="0"/>
        <v>1.0606601717798212</v>
      </c>
      <c r="G7" s="3">
        <f t="shared" si="0"/>
        <v>1.8856180831641267</v>
      </c>
      <c r="H7" s="3">
        <f t="shared" si="0"/>
        <v>2.9199855803537269</v>
      </c>
      <c r="I7" s="3">
        <f t="shared" si="0"/>
        <v>4.3026527297494637</v>
      </c>
      <c r="J7" s="3">
        <f t="shared" si="0"/>
        <v>6.9645567342832733</v>
      </c>
      <c r="K7" s="3">
        <f t="shared" si="0"/>
        <v>9.9248432009182928</v>
      </c>
      <c r="L7" s="4">
        <f t="shared" si="0"/>
        <v>31.599054576443621</v>
      </c>
    </row>
    <row r="8" spans="3:12" ht="15" customHeight="1">
      <c r="C8" s="93">
        <v>3</v>
      </c>
      <c r="D8" s="94"/>
      <c r="E8" s="3">
        <f t="shared" si="0"/>
        <v>0.76489232840434507</v>
      </c>
      <c r="F8" s="3">
        <f t="shared" si="0"/>
        <v>0.97847231236330467</v>
      </c>
      <c r="G8" s="3">
        <f t="shared" si="0"/>
        <v>1.63774435369621</v>
      </c>
      <c r="H8" s="3">
        <f t="shared" si="0"/>
        <v>2.3533634348018233</v>
      </c>
      <c r="I8" s="3">
        <f t="shared" si="0"/>
        <v>3.1824463052837091</v>
      </c>
      <c r="J8" s="3">
        <f t="shared" si="0"/>
        <v>4.5407028585681335</v>
      </c>
      <c r="K8" s="3">
        <f t="shared" si="0"/>
        <v>5.8409093097333571</v>
      </c>
      <c r="L8" s="4">
        <f t="shared" si="0"/>
        <v>12.923978636687485</v>
      </c>
    </row>
    <row r="9" spans="3:12" ht="15" customHeight="1">
      <c r="C9" s="93">
        <v>4</v>
      </c>
      <c r="D9" s="94"/>
      <c r="E9" s="3">
        <f t="shared" si="0"/>
        <v>0.74069708411268287</v>
      </c>
      <c r="F9" s="3">
        <f t="shared" si="0"/>
        <v>0.94096457723518057</v>
      </c>
      <c r="G9" s="3">
        <f t="shared" si="0"/>
        <v>1.5332062740589443</v>
      </c>
      <c r="H9" s="3">
        <f t="shared" si="0"/>
        <v>2.1318467863266499</v>
      </c>
      <c r="I9" s="3">
        <f t="shared" si="0"/>
        <v>2.7764451051977934</v>
      </c>
      <c r="J9" s="3">
        <f t="shared" si="0"/>
        <v>3.7469473879791968</v>
      </c>
      <c r="K9" s="3">
        <f t="shared" si="0"/>
        <v>4.604094871349993</v>
      </c>
      <c r="L9" s="4">
        <f t="shared" si="0"/>
        <v>8.6103015813792751</v>
      </c>
    </row>
    <row r="10" spans="3:12" ht="15" customHeight="1">
      <c r="C10" s="93">
        <v>5</v>
      </c>
      <c r="D10" s="94"/>
      <c r="E10" s="3">
        <f t="shared" si="0"/>
        <v>0.72668684380042159</v>
      </c>
      <c r="F10" s="3">
        <f t="shared" si="0"/>
        <v>0.91954378024082584</v>
      </c>
      <c r="G10" s="3">
        <f t="shared" si="0"/>
        <v>1.4758840488244813</v>
      </c>
      <c r="H10" s="3">
        <f t="shared" si="0"/>
        <v>2.0150483733330233</v>
      </c>
      <c r="I10" s="3">
        <f t="shared" si="0"/>
        <v>2.570581835636315</v>
      </c>
      <c r="J10" s="3">
        <f t="shared" si="0"/>
        <v>3.3649299989072183</v>
      </c>
      <c r="K10" s="3">
        <f t="shared" si="0"/>
        <v>4.0321429835552278</v>
      </c>
      <c r="L10" s="4">
        <f t="shared" si="0"/>
        <v>6.8688266258811099</v>
      </c>
    </row>
    <row r="11" spans="3:12" ht="15" customHeight="1">
      <c r="C11" s="93"/>
      <c r="D11" s="94"/>
      <c r="E11" s="5"/>
      <c r="F11" s="5"/>
      <c r="G11" s="5"/>
      <c r="H11" s="5"/>
      <c r="I11" s="5"/>
      <c r="J11" s="5"/>
      <c r="K11" s="5"/>
      <c r="L11" s="6"/>
    </row>
    <row r="12" spans="3:12" ht="15" customHeight="1">
      <c r="C12" s="93">
        <v>6</v>
      </c>
      <c r="D12" s="94"/>
      <c r="E12" s="3">
        <f t="shared" ref="E12:L16" si="1">ABS(_xlfn.T.INV(E$4,$C12))</f>
        <v>0.71755819649141217</v>
      </c>
      <c r="F12" s="3">
        <f t="shared" si="1"/>
        <v>0.905703285180531</v>
      </c>
      <c r="G12" s="3">
        <f t="shared" si="1"/>
        <v>1.4397557472651481</v>
      </c>
      <c r="H12" s="3">
        <f t="shared" si="1"/>
        <v>1.9431802805153031</v>
      </c>
      <c r="I12" s="3">
        <f t="shared" si="1"/>
        <v>2.4469118511449697</v>
      </c>
      <c r="J12" s="3">
        <f t="shared" si="1"/>
        <v>3.1426684032909828</v>
      </c>
      <c r="K12" s="3">
        <f t="shared" si="1"/>
        <v>3.7074280213247794</v>
      </c>
      <c r="L12" s="4">
        <f t="shared" si="1"/>
        <v>5.9588161788187586</v>
      </c>
    </row>
    <row r="13" spans="3:12" ht="15" customHeight="1">
      <c r="C13" s="93">
        <v>7</v>
      </c>
      <c r="D13" s="94"/>
      <c r="E13" s="3">
        <f t="shared" si="1"/>
        <v>0.71114177808178591</v>
      </c>
      <c r="F13" s="3">
        <f t="shared" si="1"/>
        <v>0.89602964431376519</v>
      </c>
      <c r="G13" s="3">
        <f t="shared" si="1"/>
        <v>1.4149239276505079</v>
      </c>
      <c r="H13" s="3">
        <f t="shared" si="1"/>
        <v>1.8945786050900073</v>
      </c>
      <c r="I13" s="3">
        <f t="shared" si="1"/>
        <v>2.3646242515927849</v>
      </c>
      <c r="J13" s="3">
        <f t="shared" si="1"/>
        <v>2.997951566868529</v>
      </c>
      <c r="K13" s="3">
        <f t="shared" si="1"/>
        <v>3.4994832973504946</v>
      </c>
      <c r="L13" s="4">
        <f t="shared" si="1"/>
        <v>5.4078825208617252</v>
      </c>
    </row>
    <row r="14" spans="3:12" ht="15" customHeight="1">
      <c r="C14" s="93">
        <v>8</v>
      </c>
      <c r="D14" s="94"/>
      <c r="E14" s="3">
        <f t="shared" si="1"/>
        <v>0.70638661264483749</v>
      </c>
      <c r="F14" s="3">
        <f t="shared" si="1"/>
        <v>0.88888951776701974</v>
      </c>
      <c r="G14" s="3">
        <f t="shared" si="1"/>
        <v>1.3968153097438645</v>
      </c>
      <c r="H14" s="3">
        <f t="shared" si="1"/>
        <v>1.8595480375308981</v>
      </c>
      <c r="I14" s="3">
        <f t="shared" si="1"/>
        <v>2.3060041352041671</v>
      </c>
      <c r="J14" s="3">
        <f t="shared" si="1"/>
        <v>2.8964594477096224</v>
      </c>
      <c r="K14" s="3">
        <f t="shared" si="1"/>
        <v>3.3553873313333953</v>
      </c>
      <c r="L14" s="4">
        <f t="shared" si="1"/>
        <v>5.0413054333733669</v>
      </c>
    </row>
    <row r="15" spans="3:12" ht="15" customHeight="1">
      <c r="C15" s="93">
        <v>9</v>
      </c>
      <c r="D15" s="94"/>
      <c r="E15" s="3">
        <f t="shared" si="1"/>
        <v>0.70272214675132494</v>
      </c>
      <c r="F15" s="3">
        <f t="shared" si="1"/>
        <v>0.8834038596855347</v>
      </c>
      <c r="G15" s="3">
        <f t="shared" si="1"/>
        <v>1.383028738396632</v>
      </c>
      <c r="H15" s="3">
        <f t="shared" si="1"/>
        <v>1.8331129326562374</v>
      </c>
      <c r="I15" s="3">
        <f t="shared" si="1"/>
        <v>2.2621571627982053</v>
      </c>
      <c r="J15" s="3">
        <f t="shared" si="1"/>
        <v>2.8214379250258084</v>
      </c>
      <c r="K15" s="3">
        <f t="shared" si="1"/>
        <v>3.2498355415921263</v>
      </c>
      <c r="L15" s="4">
        <f t="shared" si="1"/>
        <v>4.7809125859311381</v>
      </c>
    </row>
    <row r="16" spans="3:12" ht="15" customHeight="1">
      <c r="C16" s="93">
        <v>10</v>
      </c>
      <c r="D16" s="94"/>
      <c r="E16" s="3">
        <f t="shared" si="1"/>
        <v>0.69981206131243168</v>
      </c>
      <c r="F16" s="3">
        <f t="shared" si="1"/>
        <v>0.87905782855058789</v>
      </c>
      <c r="G16" s="3">
        <f t="shared" si="1"/>
        <v>1.3721836411103363</v>
      </c>
      <c r="H16" s="3">
        <f t="shared" si="1"/>
        <v>1.812461122811676</v>
      </c>
      <c r="I16" s="3">
        <f t="shared" si="1"/>
        <v>2.2281388519862744</v>
      </c>
      <c r="J16" s="3">
        <f t="shared" si="1"/>
        <v>2.7637694581126966</v>
      </c>
      <c r="K16" s="3">
        <f t="shared" si="1"/>
        <v>3.1692726726169518</v>
      </c>
      <c r="L16" s="4">
        <f t="shared" si="1"/>
        <v>4.586893858702636</v>
      </c>
    </row>
    <row r="17" spans="3:12" ht="15" customHeight="1">
      <c r="C17" s="93"/>
      <c r="D17" s="94"/>
      <c r="E17" s="5"/>
      <c r="F17" s="5"/>
      <c r="G17" s="5"/>
      <c r="H17" s="5"/>
      <c r="I17" s="5"/>
      <c r="J17" s="5"/>
      <c r="K17" s="5"/>
      <c r="L17" s="6"/>
    </row>
    <row r="18" spans="3:12" ht="15" customHeight="1">
      <c r="C18" s="93">
        <v>11</v>
      </c>
      <c r="D18" s="94"/>
      <c r="E18" s="3">
        <f t="shared" ref="E18:L22" si="2">ABS(_xlfn.T.INV(E$4,$C18))</f>
        <v>0.69744532755988053</v>
      </c>
      <c r="F18" s="3">
        <f t="shared" si="2"/>
        <v>0.87552997807388222</v>
      </c>
      <c r="G18" s="3">
        <f t="shared" si="2"/>
        <v>1.3634303180205409</v>
      </c>
      <c r="H18" s="3">
        <f t="shared" si="2"/>
        <v>1.7958848187040437</v>
      </c>
      <c r="I18" s="3">
        <f t="shared" si="2"/>
        <v>2.2009851600916384</v>
      </c>
      <c r="J18" s="3">
        <f t="shared" si="2"/>
        <v>2.7180791838138614</v>
      </c>
      <c r="K18" s="3">
        <f t="shared" si="2"/>
        <v>3.1058065155392809</v>
      </c>
      <c r="L18" s="4">
        <f t="shared" si="2"/>
        <v>4.4369793382344493</v>
      </c>
    </row>
    <row r="19" spans="3:12" ht="15" customHeight="1">
      <c r="C19" s="93">
        <v>12</v>
      </c>
      <c r="D19" s="94"/>
      <c r="E19" s="3">
        <f t="shared" si="2"/>
        <v>0.69548286551179161</v>
      </c>
      <c r="F19" s="3">
        <f t="shared" si="2"/>
        <v>0.87260929158813794</v>
      </c>
      <c r="G19" s="3">
        <f t="shared" si="2"/>
        <v>1.3562173340232047</v>
      </c>
      <c r="H19" s="3">
        <f t="shared" si="2"/>
        <v>1.7822875556493194</v>
      </c>
      <c r="I19" s="3">
        <f t="shared" si="2"/>
        <v>2.1788128296672284</v>
      </c>
      <c r="J19" s="3">
        <f t="shared" si="2"/>
        <v>2.6809979931209149</v>
      </c>
      <c r="K19" s="3">
        <f t="shared" si="2"/>
        <v>3.0545395893929017</v>
      </c>
      <c r="L19" s="4">
        <f t="shared" si="2"/>
        <v>4.3177912836061845</v>
      </c>
    </row>
    <row r="20" spans="3:12" ht="15" customHeight="1">
      <c r="C20" s="93">
        <v>13</v>
      </c>
      <c r="D20" s="94"/>
      <c r="E20" s="3">
        <f t="shared" si="2"/>
        <v>0.69382930423544042</v>
      </c>
      <c r="F20" s="3">
        <f t="shared" si="2"/>
        <v>0.87015153396817235</v>
      </c>
      <c r="G20" s="3">
        <f t="shared" si="2"/>
        <v>1.3501712887800554</v>
      </c>
      <c r="H20" s="3">
        <f t="shared" si="2"/>
        <v>1.7709333959868729</v>
      </c>
      <c r="I20" s="3">
        <f t="shared" si="2"/>
        <v>2.1603686564627926</v>
      </c>
      <c r="J20" s="3">
        <f t="shared" si="2"/>
        <v>2.650308837912192</v>
      </c>
      <c r="K20" s="3">
        <f t="shared" si="2"/>
        <v>3.0122758387165782</v>
      </c>
      <c r="L20" s="4">
        <f t="shared" si="2"/>
        <v>4.2208317277071208</v>
      </c>
    </row>
    <row r="21" spans="3:12" ht="15" customHeight="1">
      <c r="C21" s="93">
        <v>14</v>
      </c>
      <c r="D21" s="94"/>
      <c r="E21" s="3">
        <f t="shared" si="2"/>
        <v>0.69241706957000537</v>
      </c>
      <c r="F21" s="3">
        <f t="shared" si="2"/>
        <v>0.86805478155742033</v>
      </c>
      <c r="G21" s="3">
        <f t="shared" si="2"/>
        <v>1.3450303744546506</v>
      </c>
      <c r="H21" s="3">
        <f t="shared" si="2"/>
        <v>1.7613101357748921</v>
      </c>
      <c r="I21" s="3">
        <f t="shared" si="2"/>
        <v>2.1447866879178044</v>
      </c>
      <c r="J21" s="3">
        <f t="shared" si="2"/>
        <v>2.6244940675900517</v>
      </c>
      <c r="K21" s="3">
        <f t="shared" si="2"/>
        <v>2.9768427343708348</v>
      </c>
      <c r="L21" s="4">
        <f t="shared" si="2"/>
        <v>4.1404541127382029</v>
      </c>
    </row>
    <row r="22" spans="3:12" ht="15" customHeight="1">
      <c r="C22" s="93">
        <v>15</v>
      </c>
      <c r="D22" s="94"/>
      <c r="E22" s="3">
        <f t="shared" si="2"/>
        <v>0.6911969489584906</v>
      </c>
      <c r="F22" s="3">
        <f t="shared" si="2"/>
        <v>0.86624497319495286</v>
      </c>
      <c r="G22" s="3">
        <f t="shared" si="2"/>
        <v>1.3406056078504547</v>
      </c>
      <c r="H22" s="3">
        <f t="shared" si="2"/>
        <v>1.7530503556925723</v>
      </c>
      <c r="I22" s="3">
        <f t="shared" si="2"/>
        <v>2.1314495455597742</v>
      </c>
      <c r="J22" s="3">
        <f t="shared" si="2"/>
        <v>2.6024802950111221</v>
      </c>
      <c r="K22" s="3">
        <f t="shared" si="2"/>
        <v>2.9467128834752381</v>
      </c>
      <c r="L22" s="4">
        <f t="shared" si="2"/>
        <v>4.0727651959037905</v>
      </c>
    </row>
    <row r="23" spans="3:12" ht="15" customHeight="1">
      <c r="C23" s="93"/>
      <c r="D23" s="94"/>
      <c r="E23" s="5"/>
      <c r="F23" s="5"/>
      <c r="G23" s="5"/>
      <c r="H23" s="5"/>
      <c r="I23" s="5"/>
      <c r="J23" s="5"/>
      <c r="K23" s="5"/>
      <c r="L23" s="6"/>
    </row>
    <row r="24" spans="3:12" ht="15" customHeight="1">
      <c r="C24" s="93">
        <v>16</v>
      </c>
      <c r="D24" s="94"/>
      <c r="E24" s="3">
        <f t="shared" ref="E24:L28" si="3">ABS(_xlfn.T.INV(E$4,$C24))</f>
        <v>0.69013225381055954</v>
      </c>
      <c r="F24" s="3">
        <f t="shared" si="3"/>
        <v>0.86466700179829137</v>
      </c>
      <c r="G24" s="3">
        <f t="shared" si="3"/>
        <v>1.3367571673273144</v>
      </c>
      <c r="H24" s="3">
        <f t="shared" si="3"/>
        <v>1.7458836762762506</v>
      </c>
      <c r="I24" s="3">
        <f t="shared" si="3"/>
        <v>2.119905299221255</v>
      </c>
      <c r="J24" s="3">
        <f t="shared" si="3"/>
        <v>2.5834871852759917</v>
      </c>
      <c r="K24" s="3">
        <f t="shared" si="3"/>
        <v>2.9207816224251002</v>
      </c>
      <c r="L24" s="4">
        <f t="shared" si="3"/>
        <v>4.0149963271840559</v>
      </c>
    </row>
    <row r="25" spans="3:12" ht="15" customHeight="1">
      <c r="C25" s="93">
        <v>17</v>
      </c>
      <c r="D25" s="94"/>
      <c r="E25" s="3">
        <f t="shared" si="3"/>
        <v>0.68919507515393985</v>
      </c>
      <c r="F25" s="3">
        <f t="shared" si="3"/>
        <v>0.86327901742005297</v>
      </c>
      <c r="G25" s="3">
        <f t="shared" si="3"/>
        <v>1.3333793897216262</v>
      </c>
      <c r="H25" s="3">
        <f t="shared" si="3"/>
        <v>1.7396067260750732</v>
      </c>
      <c r="I25" s="3">
        <f t="shared" si="3"/>
        <v>2.109815577833317</v>
      </c>
      <c r="J25" s="3">
        <f t="shared" si="3"/>
        <v>2.5669339837247178</v>
      </c>
      <c r="K25" s="3">
        <f t="shared" si="3"/>
        <v>2.8982305196774178</v>
      </c>
      <c r="L25" s="4">
        <f t="shared" si="3"/>
        <v>3.9651262721190315</v>
      </c>
    </row>
    <row r="26" spans="3:12" ht="15" customHeight="1">
      <c r="C26" s="93">
        <v>18</v>
      </c>
      <c r="D26" s="94"/>
      <c r="E26" s="3">
        <f t="shared" si="3"/>
        <v>0.68836380646620021</v>
      </c>
      <c r="F26" s="3">
        <f t="shared" si="3"/>
        <v>0.86204866798959834</v>
      </c>
      <c r="G26" s="3">
        <f t="shared" si="3"/>
        <v>1.3303909435699084</v>
      </c>
      <c r="H26" s="3">
        <f t="shared" si="3"/>
        <v>1.7340636066175394</v>
      </c>
      <c r="I26" s="3">
        <f t="shared" si="3"/>
        <v>2.1009220402410378</v>
      </c>
      <c r="J26" s="3">
        <f t="shared" si="3"/>
        <v>2.552379630182251</v>
      </c>
      <c r="K26" s="3">
        <f t="shared" si="3"/>
        <v>2.8784404727386073</v>
      </c>
      <c r="L26" s="4">
        <f t="shared" si="3"/>
        <v>3.9216458250851596</v>
      </c>
    </row>
    <row r="27" spans="3:12" ht="15" customHeight="1">
      <c r="C27" s="93">
        <v>19</v>
      </c>
      <c r="D27" s="94"/>
      <c r="E27" s="3">
        <f t="shared" si="3"/>
        <v>0.68762146020395809</v>
      </c>
      <c r="F27" s="3">
        <f t="shared" si="3"/>
        <v>0.86095055026892919</v>
      </c>
      <c r="G27" s="3">
        <f t="shared" si="3"/>
        <v>1.3277282090267981</v>
      </c>
      <c r="H27" s="3">
        <f t="shared" si="3"/>
        <v>1.7291328115213698</v>
      </c>
      <c r="I27" s="3">
        <f t="shared" si="3"/>
        <v>2.0930240544083096</v>
      </c>
      <c r="J27" s="3">
        <f t="shared" si="3"/>
        <v>2.5394831906239612</v>
      </c>
      <c r="K27" s="3">
        <f t="shared" si="3"/>
        <v>2.8609346064649799</v>
      </c>
      <c r="L27" s="4">
        <f t="shared" si="3"/>
        <v>3.883405852592082</v>
      </c>
    </row>
    <row r="28" spans="3:12" ht="15" customHeight="1">
      <c r="C28" s="93">
        <v>20</v>
      </c>
      <c r="D28" s="94"/>
      <c r="E28" s="3">
        <f t="shared" si="3"/>
        <v>0.68695449644880313</v>
      </c>
      <c r="F28" s="3">
        <f t="shared" si="3"/>
        <v>0.85996443973238734</v>
      </c>
      <c r="G28" s="3">
        <f t="shared" si="3"/>
        <v>1.3253407069850465</v>
      </c>
      <c r="H28" s="3">
        <f t="shared" si="3"/>
        <v>1.7247182429207868</v>
      </c>
      <c r="I28" s="3">
        <f t="shared" si="3"/>
        <v>2.0859634472658648</v>
      </c>
      <c r="J28" s="3">
        <f t="shared" si="3"/>
        <v>2.5279770027415731</v>
      </c>
      <c r="K28" s="3">
        <f t="shared" si="3"/>
        <v>2.8453397097861091</v>
      </c>
      <c r="L28" s="4">
        <f t="shared" si="3"/>
        <v>3.8495162749308265</v>
      </c>
    </row>
    <row r="29" spans="3:12" ht="15" customHeight="1">
      <c r="C29" s="93"/>
      <c r="D29" s="94"/>
      <c r="E29" s="5"/>
      <c r="F29" s="5"/>
      <c r="G29" s="5"/>
      <c r="H29" s="5"/>
      <c r="I29" s="5"/>
      <c r="J29" s="5"/>
      <c r="K29" s="5"/>
      <c r="L29" s="6"/>
    </row>
    <row r="30" spans="3:12" ht="15" customHeight="1">
      <c r="C30" s="93">
        <v>21</v>
      </c>
      <c r="D30" s="94"/>
      <c r="E30" s="3">
        <f t="shared" ref="E30:L34" si="4">ABS(_xlfn.T.INV(E$4,$C30))</f>
        <v>0.68635199072695385</v>
      </c>
      <c r="F30" s="3">
        <f t="shared" si="4"/>
        <v>0.85907403519482572</v>
      </c>
      <c r="G30" s="3">
        <f t="shared" si="4"/>
        <v>1.3231878738651732</v>
      </c>
      <c r="H30" s="3">
        <f t="shared" si="4"/>
        <v>1.7207429028118781</v>
      </c>
      <c r="I30" s="3">
        <f t="shared" si="4"/>
        <v>2.07961384472768</v>
      </c>
      <c r="J30" s="3">
        <f t="shared" si="4"/>
        <v>2.5176480160447423</v>
      </c>
      <c r="K30" s="3">
        <f t="shared" si="4"/>
        <v>2.8313595580230499</v>
      </c>
      <c r="L30" s="4">
        <f t="shared" si="4"/>
        <v>3.8192771642744621</v>
      </c>
    </row>
    <row r="31" spans="3:12" ht="15" customHeight="1">
      <c r="C31" s="93">
        <v>22</v>
      </c>
      <c r="D31" s="94"/>
      <c r="E31" s="3">
        <f t="shared" si="4"/>
        <v>0.68580503172188534</v>
      </c>
      <c r="F31" s="3">
        <f t="shared" si="4"/>
        <v>0.85826605165820524</v>
      </c>
      <c r="G31" s="3">
        <f t="shared" si="4"/>
        <v>1.3212367416133624</v>
      </c>
      <c r="H31" s="3">
        <f t="shared" si="4"/>
        <v>1.7171443743802424</v>
      </c>
      <c r="I31" s="3">
        <f t="shared" si="4"/>
        <v>2.0738730679040258</v>
      </c>
      <c r="J31" s="3">
        <f t="shared" si="4"/>
        <v>2.5083245528990807</v>
      </c>
      <c r="K31" s="3">
        <f t="shared" si="4"/>
        <v>2.8187560606001436</v>
      </c>
      <c r="L31" s="4">
        <f t="shared" si="4"/>
        <v>3.79213067169839</v>
      </c>
    </row>
    <row r="32" spans="3:12" ht="15" customHeight="1">
      <c r="C32" s="93">
        <v>23</v>
      </c>
      <c r="D32" s="94"/>
      <c r="E32" s="3">
        <f t="shared" si="4"/>
        <v>0.68530627806129341</v>
      </c>
      <c r="F32" s="3">
        <f t="shared" si="4"/>
        <v>0.85752955368803352</v>
      </c>
      <c r="G32" s="3">
        <f t="shared" si="4"/>
        <v>1.3194602398161621</v>
      </c>
      <c r="H32" s="3">
        <f t="shared" si="4"/>
        <v>1.7138715277470482</v>
      </c>
      <c r="I32" s="3">
        <f t="shared" si="4"/>
        <v>2.0686576104190491</v>
      </c>
      <c r="J32" s="3">
        <f t="shared" si="4"/>
        <v>2.4998667394946681</v>
      </c>
      <c r="K32" s="3">
        <f t="shared" si="4"/>
        <v>2.807335683769999</v>
      </c>
      <c r="L32" s="4">
        <f t="shared" si="4"/>
        <v>3.7676268043117811</v>
      </c>
    </row>
    <row r="33" spans="3:12" ht="15" customHeight="1">
      <c r="C33" s="93">
        <v>24</v>
      </c>
      <c r="D33" s="94"/>
      <c r="E33" s="3">
        <f t="shared" si="4"/>
        <v>0.68484962723698206</v>
      </c>
      <c r="F33" s="3">
        <f t="shared" si="4"/>
        <v>0.85685545807565711</v>
      </c>
      <c r="G33" s="3">
        <f t="shared" si="4"/>
        <v>1.3178359336731498</v>
      </c>
      <c r="H33" s="3">
        <f t="shared" si="4"/>
        <v>1.7108820799094284</v>
      </c>
      <c r="I33" s="3">
        <f t="shared" si="4"/>
        <v>2.0638985616280254</v>
      </c>
      <c r="J33" s="3">
        <f t="shared" si="4"/>
        <v>2.492159473157757</v>
      </c>
      <c r="K33" s="3">
        <f t="shared" si="4"/>
        <v>2.7969395047744556</v>
      </c>
      <c r="L33" s="4">
        <f t="shared" si="4"/>
        <v>3.7453986192900528</v>
      </c>
    </row>
    <row r="34" spans="3:12" ht="15" customHeight="1">
      <c r="C34" s="93">
        <v>25</v>
      </c>
      <c r="D34" s="94"/>
      <c r="E34" s="3">
        <f t="shared" si="4"/>
        <v>0.68442996490426722</v>
      </c>
      <c r="F34" s="3">
        <f t="shared" si="4"/>
        <v>0.85623615767646943</v>
      </c>
      <c r="G34" s="3">
        <f t="shared" si="4"/>
        <v>1.3163450726738706</v>
      </c>
      <c r="H34" s="3">
        <f t="shared" si="4"/>
        <v>1.7081407612518986</v>
      </c>
      <c r="I34" s="3">
        <f t="shared" si="4"/>
        <v>2.0595385527532977</v>
      </c>
      <c r="J34" s="3">
        <f t="shared" si="4"/>
        <v>2.485107175410763</v>
      </c>
      <c r="K34" s="3">
        <f t="shared" si="4"/>
        <v>2.7874358136769706</v>
      </c>
      <c r="L34" s="4">
        <f t="shared" si="4"/>
        <v>3.7251439497286496</v>
      </c>
    </row>
    <row r="35" spans="3:12" ht="15" customHeight="1">
      <c r="C35" s="93"/>
      <c r="D35" s="94"/>
      <c r="E35" s="5"/>
      <c r="F35" s="5"/>
      <c r="G35" s="5"/>
      <c r="H35" s="5"/>
      <c r="I35" s="5"/>
      <c r="J35" s="5"/>
      <c r="K35" s="5"/>
      <c r="L35" s="6"/>
    </row>
    <row r="36" spans="3:12" ht="15" customHeight="1">
      <c r="C36" s="93">
        <v>26</v>
      </c>
      <c r="D36" s="94"/>
      <c r="E36" s="3">
        <f t="shared" ref="E36:L40" si="5">ABS(_xlfn.T.INV(E$4,$C36))</f>
        <v>0.68404297268287217</v>
      </c>
      <c r="F36" s="3">
        <f t="shared" si="5"/>
        <v>0.85566523332816824</v>
      </c>
      <c r="G36" s="3">
        <f t="shared" si="5"/>
        <v>1.3149718642705173</v>
      </c>
      <c r="H36" s="3">
        <f t="shared" si="5"/>
        <v>1.7056179197592738</v>
      </c>
      <c r="I36" s="3">
        <f t="shared" si="5"/>
        <v>2.0555294386428731</v>
      </c>
      <c r="J36" s="3">
        <f t="shared" si="5"/>
        <v>2.4786298235912425</v>
      </c>
      <c r="K36" s="3">
        <f t="shared" si="5"/>
        <v>2.7787145333296839</v>
      </c>
      <c r="L36" s="4">
        <f t="shared" si="5"/>
        <v>3.7066117434809116</v>
      </c>
    </row>
    <row r="37" spans="3:12" ht="15" customHeight="1">
      <c r="C37" s="93">
        <v>27</v>
      </c>
      <c r="D37" s="94"/>
      <c r="E37" s="3">
        <f t="shared" si="5"/>
        <v>0.68368497913103199</v>
      </c>
      <c r="F37" s="3">
        <f t="shared" si="5"/>
        <v>0.85513723069428371</v>
      </c>
      <c r="G37" s="3">
        <f t="shared" si="5"/>
        <v>1.3137029128292739</v>
      </c>
      <c r="H37" s="3">
        <f t="shared" si="5"/>
        <v>1.7032884457221271</v>
      </c>
      <c r="I37" s="3">
        <f t="shared" si="5"/>
        <v>2.0518305164802859</v>
      </c>
      <c r="J37" s="3">
        <f t="shared" si="5"/>
        <v>2.4726599119560069</v>
      </c>
      <c r="K37" s="3">
        <f t="shared" si="5"/>
        <v>2.770682957122212</v>
      </c>
      <c r="L37" s="4">
        <f t="shared" si="5"/>
        <v>3.6895917134592362</v>
      </c>
    </row>
    <row r="38" spans="3:12" ht="15" customHeight="1">
      <c r="C38" s="93">
        <v>28</v>
      </c>
      <c r="D38" s="94"/>
      <c r="E38" s="3">
        <f t="shared" si="5"/>
        <v>0.68335284298850385</v>
      </c>
      <c r="F38" s="3">
        <f t="shared" si="5"/>
        <v>0.85464748558222203</v>
      </c>
      <c r="G38" s="3">
        <f t="shared" si="5"/>
        <v>1.3125267815926682</v>
      </c>
      <c r="H38" s="3">
        <f t="shared" si="5"/>
        <v>1.7011309342659326</v>
      </c>
      <c r="I38" s="3">
        <f t="shared" si="5"/>
        <v>2.0484071417952445</v>
      </c>
      <c r="J38" s="3">
        <f t="shared" si="5"/>
        <v>2.467140097967472</v>
      </c>
      <c r="K38" s="3">
        <f t="shared" si="5"/>
        <v>2.7632624554614447</v>
      </c>
      <c r="L38" s="4">
        <f t="shared" si="5"/>
        <v>3.6739064007012763</v>
      </c>
    </row>
    <row r="39" spans="3:12" ht="15" customHeight="1">
      <c r="C39" s="93">
        <v>29</v>
      </c>
      <c r="D39" s="94"/>
      <c r="E39" s="3">
        <f t="shared" si="5"/>
        <v>0.68304386082161361</v>
      </c>
      <c r="F39" s="3">
        <f t="shared" si="5"/>
        <v>0.85419198588185485</v>
      </c>
      <c r="G39" s="3">
        <f t="shared" si="5"/>
        <v>1.3114336473015527</v>
      </c>
      <c r="H39" s="3">
        <f t="shared" si="5"/>
        <v>1.6991270265334986</v>
      </c>
      <c r="I39" s="3">
        <f t="shared" si="5"/>
        <v>2.0452296421327048</v>
      </c>
      <c r="J39" s="3">
        <f t="shared" si="5"/>
        <v>2.4620213601504126</v>
      </c>
      <c r="K39" s="3">
        <f t="shared" si="5"/>
        <v>2.7563859036706049</v>
      </c>
      <c r="L39" s="4">
        <f t="shared" si="5"/>
        <v>3.659405019466333</v>
      </c>
    </row>
    <row r="40" spans="3:12" ht="15" customHeight="1">
      <c r="C40" s="93">
        <v>30</v>
      </c>
      <c r="D40" s="94"/>
      <c r="E40" s="3">
        <f t="shared" si="5"/>
        <v>0.68275569332128949</v>
      </c>
      <c r="F40" s="3">
        <f t="shared" si="5"/>
        <v>0.85376726147129767</v>
      </c>
      <c r="G40" s="3">
        <f t="shared" si="5"/>
        <v>1.3104150253913947</v>
      </c>
      <c r="H40" s="3">
        <f t="shared" si="5"/>
        <v>1.6972608865939587</v>
      </c>
      <c r="I40" s="3">
        <f t="shared" si="5"/>
        <v>2.0422724563012378</v>
      </c>
      <c r="J40" s="3">
        <f t="shared" si="5"/>
        <v>2.4572615424005915</v>
      </c>
      <c r="K40" s="3">
        <f t="shared" si="5"/>
        <v>2.7499956535672259</v>
      </c>
      <c r="L40" s="4">
        <f t="shared" si="5"/>
        <v>3.6459586350420214</v>
      </c>
    </row>
    <row r="41" spans="3:12" ht="15" customHeight="1">
      <c r="C41" s="93"/>
      <c r="D41" s="94"/>
      <c r="E41" s="5"/>
      <c r="F41" s="5"/>
      <c r="G41" s="5"/>
      <c r="H41" s="5"/>
      <c r="I41" s="5"/>
      <c r="J41" s="5"/>
      <c r="K41" s="5"/>
      <c r="L41" s="6"/>
    </row>
    <row r="42" spans="3:12" ht="15" customHeight="1">
      <c r="C42" s="93">
        <v>40</v>
      </c>
      <c r="D42" s="94"/>
      <c r="E42" s="3">
        <f t="shared" ref="E42:L45" si="6">ABS(_xlfn.T.INV(E$4,$C42))</f>
        <v>0.68067271716444966</v>
      </c>
      <c r="F42" s="3">
        <f t="shared" si="6"/>
        <v>0.85069979579045529</v>
      </c>
      <c r="G42" s="3">
        <f t="shared" si="6"/>
        <v>1.3030770526071962</v>
      </c>
      <c r="H42" s="3">
        <f t="shared" si="6"/>
        <v>1.6838510133356521</v>
      </c>
      <c r="I42" s="3">
        <f t="shared" si="6"/>
        <v>2.0210753903062737</v>
      </c>
      <c r="J42" s="3">
        <f t="shared" si="6"/>
        <v>2.4232567793348583</v>
      </c>
      <c r="K42" s="3">
        <f t="shared" si="6"/>
        <v>2.7044592674331631</v>
      </c>
      <c r="L42" s="4">
        <f t="shared" si="6"/>
        <v>3.5509657608633112</v>
      </c>
    </row>
    <row r="43" spans="3:12" ht="15" customHeight="1">
      <c r="C43" s="93">
        <v>60</v>
      </c>
      <c r="D43" s="94"/>
      <c r="E43" s="3">
        <f t="shared" si="6"/>
        <v>0.67860072064813881</v>
      </c>
      <c r="F43" s="3">
        <f t="shared" si="6"/>
        <v>0.847653006356612</v>
      </c>
      <c r="G43" s="3">
        <f t="shared" si="6"/>
        <v>1.2958210935157342</v>
      </c>
      <c r="H43" s="3">
        <f t="shared" si="6"/>
        <v>1.6706488649046354</v>
      </c>
      <c r="I43" s="3">
        <f t="shared" si="6"/>
        <v>2.0002978220142609</v>
      </c>
      <c r="J43" s="3">
        <f t="shared" si="6"/>
        <v>2.3901194726249129</v>
      </c>
      <c r="K43" s="3">
        <f t="shared" si="6"/>
        <v>2.6602830288550381</v>
      </c>
      <c r="L43" s="4">
        <f t="shared" si="6"/>
        <v>3.4602004691963555</v>
      </c>
    </row>
    <row r="44" spans="3:12" ht="15" customHeight="1">
      <c r="C44" s="93">
        <v>120</v>
      </c>
      <c r="D44" s="94"/>
      <c r="E44" s="3">
        <f t="shared" si="6"/>
        <v>0.67653972491251135</v>
      </c>
      <c r="F44" s="3">
        <f t="shared" si="6"/>
        <v>0.84462683774314173</v>
      </c>
      <c r="G44" s="3">
        <f t="shared" si="6"/>
        <v>1.2886462336563809</v>
      </c>
      <c r="H44" s="3">
        <f t="shared" si="6"/>
        <v>1.6576508993552355</v>
      </c>
      <c r="I44" s="3">
        <f t="shared" si="6"/>
        <v>1.9799304050824413</v>
      </c>
      <c r="J44" s="3">
        <f t="shared" si="6"/>
        <v>2.3578246126487556</v>
      </c>
      <c r="K44" s="3">
        <f t="shared" si="6"/>
        <v>2.617421145106865</v>
      </c>
      <c r="L44" s="4">
        <f t="shared" si="6"/>
        <v>3.3734537685625003</v>
      </c>
    </row>
    <row r="45" spans="3:12" ht="15" customHeight="1">
      <c r="C45" s="93">
        <v>200</v>
      </c>
      <c r="D45" s="94"/>
      <c r="E45" s="3">
        <f t="shared" si="6"/>
        <v>0.67571841140421607</v>
      </c>
      <c r="F45" s="3">
        <f t="shared" si="6"/>
        <v>0.84342213153543399</v>
      </c>
      <c r="G45" s="3">
        <f t="shared" si="6"/>
        <v>1.2857987939948081</v>
      </c>
      <c r="H45" s="3">
        <f t="shared" si="6"/>
        <v>1.6525081009108851</v>
      </c>
      <c r="I45" s="3">
        <f t="shared" si="6"/>
        <v>1.9718962236339095</v>
      </c>
      <c r="J45" s="3">
        <f t="shared" si="6"/>
        <v>2.3451370822594675</v>
      </c>
      <c r="K45" s="3">
        <f t="shared" si="6"/>
        <v>2.6006344361915565</v>
      </c>
      <c r="L45" s="4">
        <f t="shared" si="6"/>
        <v>3.3398354062756765</v>
      </c>
    </row>
    <row r="46" spans="3:12" ht="15" customHeight="1" thickBot="1">
      <c r="C46" s="99" t="s">
        <v>5</v>
      </c>
      <c r="D46" s="100"/>
      <c r="E46" s="8">
        <f t="shared" ref="E46:L46" si="7">ABS(_xlfn.T.INV(E$4,100000000))</f>
        <v>0.67448974926796168</v>
      </c>
      <c r="F46" s="8">
        <f t="shared" si="7"/>
        <v>0.84162123827657709</v>
      </c>
      <c r="G46" s="8">
        <f t="shared" si="7"/>
        <v>1.2815515651918774</v>
      </c>
      <c r="H46" s="8">
        <f t="shared" si="7"/>
        <v>1.6448536410111307</v>
      </c>
      <c r="I46" s="8">
        <f t="shared" si="7"/>
        <v>1.9599640064369337</v>
      </c>
      <c r="J46" s="8">
        <f t="shared" si="7"/>
        <v>2.3263479101647113</v>
      </c>
      <c r="K46" s="8">
        <f t="shared" si="7"/>
        <v>2.5758293526846576</v>
      </c>
      <c r="L46" s="9">
        <f t="shared" si="7"/>
        <v>3.2905268302985418</v>
      </c>
    </row>
    <row r="47" spans="3:12" ht="15" customHeight="1" thickTop="1"/>
  </sheetData>
  <mergeCells count="50">
    <mergeCell ref="C45:D45"/>
    <mergeCell ref="C46:D46"/>
    <mergeCell ref="E4:E5"/>
    <mergeCell ref="G4:G5"/>
    <mergeCell ref="F4:F5"/>
    <mergeCell ref="C43:D43"/>
    <mergeCell ref="C44:D44"/>
    <mergeCell ref="C32:D32"/>
    <mergeCell ref="C21:D21"/>
    <mergeCell ref="C22:D22"/>
    <mergeCell ref="C23:D23"/>
    <mergeCell ref="C24:D24"/>
    <mergeCell ref="C25:D25"/>
    <mergeCell ref="C26:D26"/>
    <mergeCell ref="C15:D15"/>
    <mergeCell ref="C16:D16"/>
    <mergeCell ref="C27:D27"/>
    <mergeCell ref="C28:D28"/>
    <mergeCell ref="C29:D29"/>
    <mergeCell ref="C30:D30"/>
    <mergeCell ref="C31:D31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38:D38"/>
    <mergeCell ref="C17:D17"/>
    <mergeCell ref="C18:D18"/>
    <mergeCell ref="C19:D19"/>
    <mergeCell ref="C20:D20"/>
    <mergeCell ref="C9:D9"/>
    <mergeCell ref="C10:D10"/>
    <mergeCell ref="C11:D11"/>
    <mergeCell ref="C12:D12"/>
    <mergeCell ref="C13:D13"/>
    <mergeCell ref="C14:D14"/>
    <mergeCell ref="C2:L2"/>
    <mergeCell ref="C6:D6"/>
    <mergeCell ref="C7:D7"/>
    <mergeCell ref="C8:D8"/>
    <mergeCell ref="I4:I5"/>
    <mergeCell ref="J4:J5"/>
    <mergeCell ref="K4:K5"/>
    <mergeCell ref="L4:L5"/>
    <mergeCell ref="H4:H5"/>
  </mergeCells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8C5F-1B9F-457C-9DBB-3B38F29A1977}">
  <dimension ref="C2:L47"/>
  <sheetViews>
    <sheetView showGridLines="0" zoomScale="70" zoomScaleNormal="70" workbookViewId="0"/>
  </sheetViews>
  <sheetFormatPr baseColWidth="10" defaultColWidth="8.6640625" defaultRowHeight="15" customHeight="1"/>
  <cols>
    <col min="1" max="1" width="8.6640625" style="1"/>
    <col min="2" max="4" width="3.5" style="1" customWidth="1"/>
    <col min="5" max="12" width="8.6640625" style="1"/>
    <col min="13" max="13" width="3.5" style="1" customWidth="1"/>
    <col min="14" max="16384" width="8.6640625" style="1"/>
  </cols>
  <sheetData>
    <row r="2" spans="3:12" ht="15" customHeight="1">
      <c r="C2" s="92" t="s">
        <v>6</v>
      </c>
      <c r="D2" s="92"/>
      <c r="E2" s="92"/>
      <c r="F2" s="92"/>
      <c r="G2" s="92"/>
      <c r="H2" s="92"/>
      <c r="I2" s="92"/>
      <c r="J2" s="92"/>
      <c r="K2" s="92"/>
      <c r="L2" s="92"/>
    </row>
    <row r="3" spans="3:12" ht="15" customHeight="1" thickBot="1"/>
    <row r="4" spans="3:12" ht="15" customHeight="1" thickTop="1">
      <c r="C4" s="13"/>
      <c r="D4" s="14" t="s">
        <v>3</v>
      </c>
      <c r="E4" s="95">
        <v>0.995</v>
      </c>
      <c r="F4" s="95">
        <v>0.99</v>
      </c>
      <c r="G4" s="95">
        <v>0.97399999999999998</v>
      </c>
      <c r="H4" s="95">
        <v>0.95</v>
      </c>
      <c r="I4" s="95">
        <v>0.05</v>
      </c>
      <c r="J4" s="95">
        <v>2.5000000000000001E-2</v>
      </c>
      <c r="K4" s="95">
        <v>0.01</v>
      </c>
      <c r="L4" s="101">
        <v>5.0000000000000001E-3</v>
      </c>
    </row>
    <row r="5" spans="3:12" ht="15" customHeight="1">
      <c r="C5" s="15" t="s">
        <v>4</v>
      </c>
      <c r="D5" s="16"/>
      <c r="E5" s="96"/>
      <c r="F5" s="96"/>
      <c r="G5" s="96"/>
      <c r="H5" s="96"/>
      <c r="I5" s="96"/>
      <c r="J5" s="96"/>
      <c r="K5" s="96"/>
      <c r="L5" s="102"/>
    </row>
    <row r="6" spans="3:12" ht="15" customHeight="1">
      <c r="C6" s="93">
        <v>1</v>
      </c>
      <c r="D6" s="94"/>
      <c r="E6" s="3">
        <f>_xlfn.CHISQ.INV.RT(E$4,$C6)</f>
        <v>3.9270422220515978E-5</v>
      </c>
      <c r="F6" s="3">
        <f t="shared" ref="F6:L21" si="0">_xlfn.CHISQ.INV.RT(F$4,$C6)</f>
        <v>1.5708785790970227E-4</v>
      </c>
      <c r="G6" s="3">
        <f t="shared" si="0"/>
        <v>1.0622343376392933E-3</v>
      </c>
      <c r="H6" s="3">
        <f t="shared" si="0"/>
        <v>3.9321400000195293E-3</v>
      </c>
      <c r="I6" s="3">
        <f t="shared" si="0"/>
        <v>3.8414588206941236</v>
      </c>
      <c r="J6" s="3">
        <f t="shared" si="0"/>
        <v>5.0238861873148863</v>
      </c>
      <c r="K6" s="3">
        <f t="shared" si="0"/>
        <v>6.6348966010212118</v>
      </c>
      <c r="L6" s="17">
        <f t="shared" si="0"/>
        <v>7.8794385766224124</v>
      </c>
    </row>
    <row r="7" spans="3:12" ht="15" customHeight="1">
      <c r="C7" s="93">
        <v>2</v>
      </c>
      <c r="D7" s="94"/>
      <c r="E7" s="3">
        <f t="shared" ref="E7:E10" si="1">_xlfn.CHISQ.INV.RT(E$4,$C7)</f>
        <v>1.0025083647088573E-2</v>
      </c>
      <c r="F7" s="3">
        <f t="shared" si="0"/>
        <v>2.0100671707002901E-2</v>
      </c>
      <c r="G7" s="3">
        <f t="shared" si="0"/>
        <v>5.2687950679203947E-2</v>
      </c>
      <c r="H7" s="3">
        <f t="shared" si="0"/>
        <v>0.10258658877510116</v>
      </c>
      <c r="I7" s="3">
        <f t="shared" si="0"/>
        <v>5.9914645471079817</v>
      </c>
      <c r="J7" s="3">
        <f t="shared" si="0"/>
        <v>7.3777589082278725</v>
      </c>
      <c r="K7" s="3">
        <f t="shared" si="0"/>
        <v>9.2103403719761818</v>
      </c>
      <c r="L7" s="4">
        <f t="shared" si="0"/>
        <v>10.596634733096073</v>
      </c>
    </row>
    <row r="8" spans="3:12" ht="15" customHeight="1">
      <c r="C8" s="93">
        <v>3</v>
      </c>
      <c r="D8" s="94"/>
      <c r="E8" s="3">
        <f t="shared" si="1"/>
        <v>7.1721774586491635E-2</v>
      </c>
      <c r="F8" s="3">
        <f t="shared" si="0"/>
        <v>0.11483180189911682</v>
      </c>
      <c r="G8" s="3">
        <f t="shared" si="0"/>
        <v>0.2217738174746664</v>
      </c>
      <c r="H8" s="3">
        <f t="shared" si="0"/>
        <v>0.35184631774927172</v>
      </c>
      <c r="I8" s="3">
        <f t="shared" si="0"/>
        <v>7.8147279032511792</v>
      </c>
      <c r="J8" s="3">
        <f t="shared" si="0"/>
        <v>9.3484036044961485</v>
      </c>
      <c r="K8" s="3">
        <f t="shared" si="0"/>
        <v>11.344866730144371</v>
      </c>
      <c r="L8" s="4">
        <f t="shared" si="0"/>
        <v>12.838156466598651</v>
      </c>
    </row>
    <row r="9" spans="3:12" ht="15" customHeight="1">
      <c r="C9" s="93">
        <v>4</v>
      </c>
      <c r="D9" s="94"/>
      <c r="E9" s="3">
        <f t="shared" si="1"/>
        <v>0.20698909349618236</v>
      </c>
      <c r="F9" s="3">
        <f t="shared" si="0"/>
        <v>0.29710948050653158</v>
      </c>
      <c r="G9" s="3">
        <f t="shared" si="0"/>
        <v>0.4948540528044868</v>
      </c>
      <c r="H9" s="3">
        <f t="shared" si="0"/>
        <v>0.71072302139732446</v>
      </c>
      <c r="I9" s="3">
        <f t="shared" si="0"/>
        <v>9.4877290367811575</v>
      </c>
      <c r="J9" s="3">
        <f t="shared" si="0"/>
        <v>11.143286781877798</v>
      </c>
      <c r="K9" s="3">
        <f t="shared" si="0"/>
        <v>13.276704135987623</v>
      </c>
      <c r="L9" s="4">
        <f t="shared" si="0"/>
        <v>14.860259000560244</v>
      </c>
    </row>
    <row r="10" spans="3:12" ht="15" customHeight="1">
      <c r="C10" s="93">
        <v>5</v>
      </c>
      <c r="D10" s="94"/>
      <c r="E10" s="3">
        <f t="shared" si="1"/>
        <v>0.41174190383249976</v>
      </c>
      <c r="F10" s="3">
        <f t="shared" si="0"/>
        <v>0.55429807672827713</v>
      </c>
      <c r="G10" s="3">
        <f t="shared" si="0"/>
        <v>0.84610345054068947</v>
      </c>
      <c r="H10" s="3">
        <f t="shared" si="0"/>
        <v>1.1454762260617699</v>
      </c>
      <c r="I10" s="3">
        <f t="shared" si="0"/>
        <v>11.070497693516353</v>
      </c>
      <c r="J10" s="3">
        <f t="shared" si="0"/>
        <v>12.832501994030029</v>
      </c>
      <c r="K10" s="3">
        <f t="shared" si="0"/>
        <v>15.086272469388991</v>
      </c>
      <c r="L10" s="4">
        <f t="shared" si="0"/>
        <v>16.749602343639044</v>
      </c>
    </row>
    <row r="11" spans="3:12" ht="15" customHeight="1">
      <c r="C11" s="93"/>
      <c r="D11" s="94"/>
      <c r="E11" s="5"/>
      <c r="F11" s="5"/>
      <c r="G11" s="5"/>
      <c r="H11" s="5"/>
      <c r="I11" s="5"/>
      <c r="J11" s="5"/>
      <c r="K11" s="5"/>
      <c r="L11" s="6"/>
    </row>
    <row r="12" spans="3:12" ht="15" customHeight="1">
      <c r="C12" s="93">
        <v>6</v>
      </c>
      <c r="D12" s="94"/>
      <c r="E12" s="3">
        <f>_xlfn.CHISQ.INV.RT(E$4,$C12)</f>
        <v>0.67572677745546794</v>
      </c>
      <c r="F12" s="3">
        <f t="shared" si="0"/>
        <v>0.87209033015658521</v>
      </c>
      <c r="G12" s="3">
        <f t="shared" si="0"/>
        <v>1.2565396808440261</v>
      </c>
      <c r="H12" s="3">
        <f t="shared" si="0"/>
        <v>1.6353828943279067</v>
      </c>
      <c r="I12" s="3">
        <f t="shared" si="0"/>
        <v>12.591587243743978</v>
      </c>
      <c r="J12" s="3">
        <f t="shared" si="0"/>
        <v>14.449375335447922</v>
      </c>
      <c r="K12" s="3">
        <f t="shared" si="0"/>
        <v>16.811893829770931</v>
      </c>
      <c r="L12" s="4">
        <f t="shared" si="0"/>
        <v>18.547584178511091</v>
      </c>
    </row>
    <row r="13" spans="3:12" ht="15" customHeight="1">
      <c r="C13" s="93">
        <v>7</v>
      </c>
      <c r="D13" s="94"/>
      <c r="E13" s="3">
        <f t="shared" ref="E13:E16" si="2">_xlfn.CHISQ.INV.RT(E$4,$C13)</f>
        <v>0.98925568313295031</v>
      </c>
      <c r="F13" s="3">
        <f t="shared" si="0"/>
        <v>1.2390423055679303</v>
      </c>
      <c r="G13" s="3">
        <f t="shared" si="0"/>
        <v>1.7131804619362307</v>
      </c>
      <c r="H13" s="3">
        <f t="shared" si="0"/>
        <v>2.167349909298057</v>
      </c>
      <c r="I13" s="3">
        <f t="shared" si="0"/>
        <v>14.067140449340167</v>
      </c>
      <c r="J13" s="3">
        <f t="shared" si="0"/>
        <v>16.012764274629326</v>
      </c>
      <c r="K13" s="3">
        <f t="shared" si="0"/>
        <v>18.475306906582361</v>
      </c>
      <c r="L13" s="4">
        <f t="shared" si="0"/>
        <v>20.277739874962624</v>
      </c>
    </row>
    <row r="14" spans="3:12" ht="15" customHeight="1">
      <c r="C14" s="93">
        <v>8</v>
      </c>
      <c r="D14" s="94"/>
      <c r="E14" s="3">
        <f t="shared" si="2"/>
        <v>1.3444130870148152</v>
      </c>
      <c r="F14" s="3">
        <f t="shared" si="0"/>
        <v>1.6464973726907688</v>
      </c>
      <c r="G14" s="3">
        <f t="shared" si="0"/>
        <v>2.2069718751268481</v>
      </c>
      <c r="H14" s="3">
        <f t="shared" si="0"/>
        <v>2.7326367934996632</v>
      </c>
      <c r="I14" s="3">
        <f t="shared" si="0"/>
        <v>15.507313055865453</v>
      </c>
      <c r="J14" s="3">
        <f t="shared" si="0"/>
        <v>17.53454613948465</v>
      </c>
      <c r="K14" s="3">
        <f t="shared" si="0"/>
        <v>20.090235029663233</v>
      </c>
      <c r="L14" s="4">
        <f t="shared" si="0"/>
        <v>21.95495499065953</v>
      </c>
    </row>
    <row r="15" spans="3:12" ht="15" customHeight="1">
      <c r="C15" s="93">
        <v>9</v>
      </c>
      <c r="D15" s="94"/>
      <c r="E15" s="3">
        <f t="shared" si="2"/>
        <v>1.7349329049966573</v>
      </c>
      <c r="F15" s="3">
        <f t="shared" si="0"/>
        <v>2.0879007358707233</v>
      </c>
      <c r="G15" s="3">
        <f t="shared" si="0"/>
        <v>2.7313874232368822</v>
      </c>
      <c r="H15" s="3">
        <f t="shared" si="0"/>
        <v>3.3251128430668162</v>
      </c>
      <c r="I15" s="3">
        <f t="shared" si="0"/>
        <v>16.918977604620451</v>
      </c>
      <c r="J15" s="3">
        <f t="shared" si="0"/>
        <v>19.022767798641635</v>
      </c>
      <c r="K15" s="3">
        <f t="shared" si="0"/>
        <v>21.665994333461931</v>
      </c>
      <c r="L15" s="4">
        <f t="shared" si="0"/>
        <v>23.589350781257387</v>
      </c>
    </row>
    <row r="16" spans="3:12" ht="15" customHeight="1">
      <c r="C16" s="93">
        <v>10</v>
      </c>
      <c r="D16" s="94"/>
      <c r="E16" s="3">
        <f t="shared" si="2"/>
        <v>2.1558564813046455</v>
      </c>
      <c r="F16" s="3">
        <f t="shared" si="0"/>
        <v>2.5582121601872081</v>
      </c>
      <c r="G16" s="3">
        <f t="shared" si="0"/>
        <v>3.2815699406135979</v>
      </c>
      <c r="H16" s="3">
        <f t="shared" si="0"/>
        <v>3.9402991361190622</v>
      </c>
      <c r="I16" s="3">
        <f t="shared" si="0"/>
        <v>18.307038053275146</v>
      </c>
      <c r="J16" s="3">
        <f t="shared" si="0"/>
        <v>20.483177350807395</v>
      </c>
      <c r="K16" s="3">
        <f t="shared" si="0"/>
        <v>23.209251158954359</v>
      </c>
      <c r="L16" s="4">
        <f t="shared" si="0"/>
        <v>25.188179571971173</v>
      </c>
    </row>
    <row r="17" spans="3:12" ht="15" customHeight="1">
      <c r="C17" s="93"/>
      <c r="D17" s="94"/>
      <c r="E17" s="5"/>
      <c r="F17" s="5"/>
      <c r="G17" s="5"/>
      <c r="H17" s="5"/>
      <c r="I17" s="5"/>
      <c r="J17" s="5"/>
      <c r="K17" s="5"/>
      <c r="L17" s="6"/>
    </row>
    <row r="18" spans="3:12" ht="15" customHeight="1">
      <c r="C18" s="93">
        <v>11</v>
      </c>
      <c r="D18" s="94"/>
      <c r="E18" s="3">
        <f>_xlfn.CHISQ.INV.RT(E$4,$C18)</f>
        <v>2.6032218905151172</v>
      </c>
      <c r="F18" s="3">
        <f t="shared" si="0"/>
        <v>3.0534841066406813</v>
      </c>
      <c r="G18" s="3">
        <f t="shared" si="0"/>
        <v>3.8538021489430374</v>
      </c>
      <c r="H18" s="3">
        <f t="shared" si="0"/>
        <v>4.5748130793222259</v>
      </c>
      <c r="I18" s="3">
        <f t="shared" si="0"/>
        <v>19.675137572682498</v>
      </c>
      <c r="J18" s="3">
        <f t="shared" si="0"/>
        <v>21.920049261021205</v>
      </c>
      <c r="K18" s="3">
        <f t="shared" si="0"/>
        <v>24.724970311318284</v>
      </c>
      <c r="L18" s="4">
        <f t="shared" si="0"/>
        <v>26.756848916469632</v>
      </c>
    </row>
    <row r="19" spans="3:12" ht="15" customHeight="1">
      <c r="C19" s="93">
        <v>12</v>
      </c>
      <c r="D19" s="94"/>
      <c r="E19" s="3">
        <f t="shared" ref="E19:L22" si="3">_xlfn.CHISQ.INV.RT(E$4,$C19)</f>
        <v>3.0738236380893325</v>
      </c>
      <c r="F19" s="3">
        <f t="shared" si="0"/>
        <v>3.5705689706043899</v>
      </c>
      <c r="G19" s="3">
        <f t="shared" si="0"/>
        <v>4.4451703126976971</v>
      </c>
      <c r="H19" s="3">
        <f t="shared" si="0"/>
        <v>5.2260294883926397</v>
      </c>
      <c r="I19" s="3">
        <f t="shared" si="0"/>
        <v>21.026069817483066</v>
      </c>
      <c r="J19" s="3">
        <f t="shared" si="0"/>
        <v>23.336664158645338</v>
      </c>
      <c r="K19" s="3">
        <f t="shared" si="0"/>
        <v>26.216967305535849</v>
      </c>
      <c r="L19" s="4">
        <f t="shared" si="0"/>
        <v>28.299518822046032</v>
      </c>
    </row>
    <row r="20" spans="3:12" ht="15" customHeight="1">
      <c r="C20" s="93">
        <v>13</v>
      </c>
      <c r="D20" s="94"/>
      <c r="E20" s="3">
        <f t="shared" si="3"/>
        <v>3.5650345797295349</v>
      </c>
      <c r="F20" s="3">
        <f t="shared" si="0"/>
        <v>4.1069154715044069</v>
      </c>
      <c r="G20" s="3">
        <f t="shared" si="0"/>
        <v>5.0533434921441041</v>
      </c>
      <c r="H20" s="3">
        <f t="shared" si="0"/>
        <v>5.8918643377098476</v>
      </c>
      <c r="I20" s="3">
        <f t="shared" si="0"/>
        <v>22.362032494826938</v>
      </c>
      <c r="J20" s="3">
        <f t="shared" si="0"/>
        <v>24.73560488493154</v>
      </c>
      <c r="K20" s="3">
        <f t="shared" si="0"/>
        <v>27.688249610457049</v>
      </c>
      <c r="L20" s="4">
        <f t="shared" si="0"/>
        <v>29.819471223653217</v>
      </c>
    </row>
    <row r="21" spans="3:12" ht="15" customHeight="1">
      <c r="C21" s="93">
        <v>14</v>
      </c>
      <c r="D21" s="94"/>
      <c r="E21" s="3">
        <f t="shared" si="3"/>
        <v>4.0746749573993482</v>
      </c>
      <c r="F21" s="3">
        <f t="shared" si="0"/>
        <v>4.6604250626577679</v>
      </c>
      <c r="G21" s="3">
        <f t="shared" si="0"/>
        <v>5.6764241127493955</v>
      </c>
      <c r="H21" s="3">
        <f t="shared" si="0"/>
        <v>6.5706313837893431</v>
      </c>
      <c r="I21" s="3">
        <f t="shared" si="0"/>
        <v>23.68479130484058</v>
      </c>
      <c r="J21" s="3">
        <f t="shared" si="0"/>
        <v>26.118948045037371</v>
      </c>
      <c r="K21" s="3">
        <f t="shared" si="0"/>
        <v>29.141237740672796</v>
      </c>
      <c r="L21" s="4">
        <f t="shared" si="0"/>
        <v>31.31934962259529</v>
      </c>
    </row>
    <row r="22" spans="3:12" ht="15" customHeight="1">
      <c r="C22" s="93">
        <v>15</v>
      </c>
      <c r="D22" s="94"/>
      <c r="E22" s="3">
        <f t="shared" si="3"/>
        <v>4.600915571727338</v>
      </c>
      <c r="F22" s="3">
        <f t="shared" si="3"/>
        <v>5.2293488840989664</v>
      </c>
      <c r="G22" s="3">
        <f t="shared" si="3"/>
        <v>6.3128439384491601</v>
      </c>
      <c r="H22" s="3">
        <f t="shared" si="3"/>
        <v>7.2609439276700334</v>
      </c>
      <c r="I22" s="3">
        <f t="shared" si="3"/>
        <v>24.99579013972863</v>
      </c>
      <c r="J22" s="3">
        <f t="shared" si="3"/>
        <v>27.488392863442982</v>
      </c>
      <c r="K22" s="3">
        <f t="shared" si="3"/>
        <v>30.577914166892494</v>
      </c>
      <c r="L22" s="4">
        <f t="shared" si="3"/>
        <v>32.80132064579184</v>
      </c>
    </row>
    <row r="23" spans="3:12" ht="15" customHeight="1">
      <c r="C23" s="93"/>
      <c r="D23" s="94"/>
      <c r="E23" s="5"/>
      <c r="F23" s="5"/>
      <c r="G23" s="5"/>
      <c r="H23" s="5"/>
      <c r="I23" s="5"/>
      <c r="J23" s="5"/>
      <c r="K23" s="5"/>
      <c r="L23" s="6"/>
    </row>
    <row r="24" spans="3:12" ht="15" customHeight="1">
      <c r="C24" s="93">
        <v>16</v>
      </c>
      <c r="D24" s="94"/>
      <c r="E24" s="3">
        <f>_xlfn.CHISQ.INV.RT(E$4,$C24)</f>
        <v>5.1422054430436823</v>
      </c>
      <c r="F24" s="3">
        <f t="shared" ref="F24:L28" si="4">_xlfn.CHISQ.INV.RT(F$4,$C24)</f>
        <v>5.8122124701349733</v>
      </c>
      <c r="G24" s="3">
        <f t="shared" si="4"/>
        <v>6.9612898239528267</v>
      </c>
      <c r="H24" s="3">
        <f t="shared" si="4"/>
        <v>7.9616455723785533</v>
      </c>
      <c r="I24" s="3">
        <f t="shared" si="4"/>
        <v>26.296227604864239</v>
      </c>
      <c r="J24" s="3">
        <f t="shared" si="4"/>
        <v>28.84535072340476</v>
      </c>
      <c r="K24" s="3">
        <f t="shared" si="4"/>
        <v>31.999926908815183</v>
      </c>
      <c r="L24" s="4">
        <f t="shared" si="4"/>
        <v>34.267186537826703</v>
      </c>
    </row>
    <row r="25" spans="3:12" ht="15" customHeight="1">
      <c r="C25" s="93">
        <v>17</v>
      </c>
      <c r="D25" s="94"/>
      <c r="E25" s="3">
        <f t="shared" ref="E25:E28" si="5">_xlfn.CHISQ.INV.RT(E$4,$C25)</f>
        <v>5.6972171014978219</v>
      </c>
      <c r="F25" s="3">
        <f t="shared" si="4"/>
        <v>6.4077597777389341</v>
      </c>
      <c r="G25" s="3">
        <f t="shared" si="4"/>
        <v>7.6206495358226203</v>
      </c>
      <c r="H25" s="3">
        <f t="shared" si="4"/>
        <v>8.671760204670079</v>
      </c>
      <c r="I25" s="3">
        <f t="shared" si="4"/>
        <v>27.587111638275324</v>
      </c>
      <c r="J25" s="3">
        <f t="shared" si="4"/>
        <v>30.191009121639812</v>
      </c>
      <c r="K25" s="3">
        <f t="shared" si="4"/>
        <v>33.408663605004612</v>
      </c>
      <c r="L25" s="4">
        <f t="shared" si="4"/>
        <v>35.7184656590046</v>
      </c>
    </row>
    <row r="26" spans="3:12" ht="15" customHeight="1">
      <c r="C26" s="93">
        <v>18</v>
      </c>
      <c r="D26" s="94"/>
      <c r="E26" s="3">
        <f t="shared" si="5"/>
        <v>6.2648046845064762</v>
      </c>
      <c r="F26" s="3">
        <f t="shared" si="4"/>
        <v>7.0149109011725761</v>
      </c>
      <c r="G26" s="3">
        <f t="shared" si="4"/>
        <v>8.2899714335266346</v>
      </c>
      <c r="H26" s="3">
        <f t="shared" si="4"/>
        <v>9.3904550806889837</v>
      </c>
      <c r="I26" s="3">
        <f t="shared" si="4"/>
        <v>28.869299430392633</v>
      </c>
      <c r="J26" s="3">
        <f t="shared" si="4"/>
        <v>31.52637844038663</v>
      </c>
      <c r="K26" s="3">
        <f t="shared" si="4"/>
        <v>34.805305734705072</v>
      </c>
      <c r="L26" s="4">
        <f t="shared" si="4"/>
        <v>37.156451456606746</v>
      </c>
    </row>
    <row r="27" spans="3:12" ht="15" customHeight="1">
      <c r="C27" s="93">
        <v>19</v>
      </c>
      <c r="D27" s="94"/>
      <c r="E27" s="3">
        <f t="shared" si="5"/>
        <v>6.8439714454829561</v>
      </c>
      <c r="F27" s="3">
        <f t="shared" si="4"/>
        <v>7.6327296475714759</v>
      </c>
      <c r="G27" s="3">
        <f t="shared" si="4"/>
        <v>8.968433935303322</v>
      </c>
      <c r="H27" s="3">
        <f t="shared" si="4"/>
        <v>10.117013063859044</v>
      </c>
      <c r="I27" s="3">
        <f t="shared" si="4"/>
        <v>30.143527205646155</v>
      </c>
      <c r="J27" s="3">
        <f t="shared" si="4"/>
        <v>32.852326861729708</v>
      </c>
      <c r="K27" s="3">
        <f t="shared" si="4"/>
        <v>36.190869129270048</v>
      </c>
      <c r="L27" s="4">
        <f t="shared" si="4"/>
        <v>38.58225655493424</v>
      </c>
    </row>
    <row r="28" spans="3:12" ht="15" customHeight="1">
      <c r="C28" s="93">
        <v>20</v>
      </c>
      <c r="D28" s="94"/>
      <c r="E28" s="3">
        <f t="shared" si="5"/>
        <v>7.4338442629342358</v>
      </c>
      <c r="F28" s="3">
        <f t="shared" si="4"/>
        <v>8.2603983325464014</v>
      </c>
      <c r="G28" s="3">
        <f t="shared" si="4"/>
        <v>9.6553220296654096</v>
      </c>
      <c r="H28" s="3">
        <f t="shared" si="4"/>
        <v>10.850811394182585</v>
      </c>
      <c r="I28" s="3">
        <f t="shared" si="4"/>
        <v>31.410432844230925</v>
      </c>
      <c r="J28" s="3">
        <f t="shared" si="4"/>
        <v>34.169606902838339</v>
      </c>
      <c r="K28" s="3">
        <f t="shared" si="4"/>
        <v>37.566234786625053</v>
      </c>
      <c r="L28" s="4">
        <f t="shared" si="4"/>
        <v>39.996846312938644</v>
      </c>
    </row>
    <row r="29" spans="3:12" ht="15" customHeight="1">
      <c r="C29" s="93"/>
      <c r="D29" s="94"/>
      <c r="E29" s="5"/>
      <c r="F29" s="5"/>
      <c r="G29" s="5"/>
      <c r="H29" s="5"/>
      <c r="I29" s="5"/>
      <c r="J29" s="5"/>
      <c r="K29" s="5"/>
      <c r="L29" s="6"/>
    </row>
    <row r="30" spans="3:12" ht="15" customHeight="1">
      <c r="C30" s="93">
        <v>21</v>
      </c>
      <c r="D30" s="94"/>
      <c r="E30" s="3">
        <f>_xlfn.CHISQ.INV.RT(E$4,$C30)</f>
        <v>8.033653420232735</v>
      </c>
      <c r="F30" s="3">
        <f t="shared" ref="F30:L34" si="6">_xlfn.CHISQ.INV.RT(F$4,$C30)</f>
        <v>8.89719794207722</v>
      </c>
      <c r="G30" s="3">
        <f t="shared" si="6"/>
        <v>10.350008951200385</v>
      </c>
      <c r="H30" s="3">
        <f t="shared" si="6"/>
        <v>11.591305208820739</v>
      </c>
      <c r="I30" s="3">
        <f t="shared" si="6"/>
        <v>32.670573340917308</v>
      </c>
      <c r="J30" s="3">
        <f t="shared" si="6"/>
        <v>35.478875905727257</v>
      </c>
      <c r="K30" s="3">
        <f t="shared" si="6"/>
        <v>38.932172683516065</v>
      </c>
      <c r="L30" s="4">
        <f t="shared" si="6"/>
        <v>41.401064771417609</v>
      </c>
    </row>
    <row r="31" spans="3:12" ht="15" customHeight="1">
      <c r="C31" s="93">
        <v>22</v>
      </c>
      <c r="D31" s="94"/>
      <c r="E31" s="3">
        <f t="shared" ref="E31:E34" si="7">_xlfn.CHISQ.INV.RT(E$4,$C31)</f>
        <v>8.6427164006664015</v>
      </c>
      <c r="F31" s="3">
        <f t="shared" si="6"/>
        <v>9.5424923387850811</v>
      </c>
      <c r="G31" s="3">
        <f t="shared" si="6"/>
        <v>11.051941702962573</v>
      </c>
      <c r="H31" s="3">
        <f t="shared" si="6"/>
        <v>12.338014578790647</v>
      </c>
      <c r="I31" s="3">
        <f t="shared" si="6"/>
        <v>33.9244384714438</v>
      </c>
      <c r="J31" s="3">
        <f t="shared" si="6"/>
        <v>36.780712084035557</v>
      </c>
      <c r="K31" s="3">
        <f t="shared" si="6"/>
        <v>40.289360437593864</v>
      </c>
      <c r="L31" s="4">
        <f t="shared" si="6"/>
        <v>42.795654999308539</v>
      </c>
    </row>
    <row r="32" spans="3:12" ht="15" customHeight="1">
      <c r="C32" s="93">
        <v>23</v>
      </c>
      <c r="D32" s="94"/>
      <c r="E32" s="3">
        <f t="shared" si="7"/>
        <v>9.2604247758087546</v>
      </c>
      <c r="F32" s="3">
        <f t="shared" si="6"/>
        <v>10.195715555745821</v>
      </c>
      <c r="G32" s="3">
        <f t="shared" si="6"/>
        <v>11.76062948597194</v>
      </c>
      <c r="H32" s="3">
        <f t="shared" si="6"/>
        <v>13.090514188172801</v>
      </c>
      <c r="I32" s="3">
        <f t="shared" si="6"/>
        <v>35.172461626908053</v>
      </c>
      <c r="J32" s="3">
        <f t="shared" si="6"/>
        <v>38.075627250355801</v>
      </c>
      <c r="K32" s="3">
        <f t="shared" si="6"/>
        <v>41.638398118858476</v>
      </c>
      <c r="L32" s="4">
        <f t="shared" si="6"/>
        <v>44.181275249971101</v>
      </c>
    </row>
    <row r="33" spans="3:12" ht="15" customHeight="1">
      <c r="C33" s="93">
        <v>24</v>
      </c>
      <c r="D33" s="94"/>
      <c r="E33" s="3">
        <f t="shared" si="7"/>
        <v>9.8862335022414651</v>
      </c>
      <c r="F33" s="3">
        <f t="shared" si="6"/>
        <v>10.856361475532282</v>
      </c>
      <c r="G33" s="3">
        <f t="shared" si="6"/>
        <v>12.475634355061885</v>
      </c>
      <c r="H33" s="3">
        <f t="shared" si="6"/>
        <v>13.848425027170213</v>
      </c>
      <c r="I33" s="3">
        <f t="shared" si="6"/>
        <v>36.415028501807313</v>
      </c>
      <c r="J33" s="3">
        <f t="shared" si="6"/>
        <v>39.364077026603915</v>
      </c>
      <c r="K33" s="3">
        <f t="shared" si="6"/>
        <v>42.979820139351638</v>
      </c>
      <c r="L33" s="4">
        <f t="shared" si="6"/>
        <v>45.558511936530586</v>
      </c>
    </row>
    <row r="34" spans="3:12" ht="15" customHeight="1">
      <c r="C34" s="93">
        <v>25</v>
      </c>
      <c r="D34" s="94"/>
      <c r="E34" s="3">
        <f t="shared" si="7"/>
        <v>10.519652112024698</v>
      </c>
      <c r="F34" s="3">
        <f t="shared" si="6"/>
        <v>11.52397537224933</v>
      </c>
      <c r="G34" s="3">
        <f t="shared" si="6"/>
        <v>13.196563600448712</v>
      </c>
      <c r="H34" s="3">
        <f t="shared" si="6"/>
        <v>14.611407639483309</v>
      </c>
      <c r="I34" s="3">
        <f t="shared" si="6"/>
        <v>37.65248413348278</v>
      </c>
      <c r="J34" s="3">
        <f t="shared" si="6"/>
        <v>40.646469120275199</v>
      </c>
      <c r="K34" s="3">
        <f t="shared" si="6"/>
        <v>44.314104896219156</v>
      </c>
      <c r="L34" s="4">
        <f t="shared" si="6"/>
        <v>46.92789016008075</v>
      </c>
    </row>
    <row r="35" spans="3:12" ht="15" customHeight="1">
      <c r="C35" s="93"/>
      <c r="D35" s="94"/>
      <c r="E35" s="5"/>
      <c r="F35" s="5"/>
      <c r="G35" s="5"/>
      <c r="H35" s="5"/>
      <c r="I35" s="5"/>
      <c r="J35" s="5"/>
      <c r="K35" s="5"/>
      <c r="L35" s="6"/>
    </row>
    <row r="36" spans="3:12" ht="15" customHeight="1">
      <c r="C36" s="93">
        <v>26</v>
      </c>
      <c r="D36" s="94"/>
      <c r="E36" s="3">
        <f>_xlfn.CHISQ.INV.RT(E$4,$C36)</f>
        <v>11.160237406164143</v>
      </c>
      <c r="F36" s="3">
        <f t="shared" ref="F36:L40" si="8">_xlfn.CHISQ.INV.RT(F$4,$C36)</f>
        <v>12.198146923505595</v>
      </c>
      <c r="G36" s="3">
        <f t="shared" si="8"/>
        <v>13.923063481845462</v>
      </c>
      <c r="H36" s="3">
        <f t="shared" si="8"/>
        <v>15.379156583261738</v>
      </c>
      <c r="I36" s="3">
        <f t="shared" si="8"/>
        <v>38.885138659830041</v>
      </c>
      <c r="J36" s="3">
        <f t="shared" si="8"/>
        <v>41.923170096353914</v>
      </c>
      <c r="K36" s="3">
        <f t="shared" si="8"/>
        <v>45.641682666283153</v>
      </c>
      <c r="L36" s="4">
        <f t="shared" si="8"/>
        <v>48.289882332456834</v>
      </c>
    </row>
    <row r="37" spans="3:12" ht="15" customHeight="1">
      <c r="C37" s="93">
        <v>27</v>
      </c>
      <c r="D37" s="94"/>
      <c r="E37" s="3">
        <f t="shared" ref="E37:E40" si="9">_xlfn.CHISQ.INV.RT(E$4,$C37)</f>
        <v>11.807587351366138</v>
      </c>
      <c r="F37" s="3">
        <f t="shared" si="8"/>
        <v>12.878504393144546</v>
      </c>
      <c r="G37" s="3">
        <f t="shared" si="8"/>
        <v>14.654814033466467</v>
      </c>
      <c r="H37" s="3">
        <f t="shared" si="8"/>
        <v>16.151395849664109</v>
      </c>
      <c r="I37" s="3">
        <f t="shared" si="8"/>
        <v>40.113272069413625</v>
      </c>
      <c r="J37" s="3">
        <f t="shared" si="8"/>
        <v>43.194510966156031</v>
      </c>
      <c r="K37" s="3">
        <f t="shared" si="8"/>
        <v>46.962942124751443</v>
      </c>
      <c r="L37" s="4">
        <f t="shared" si="8"/>
        <v>49.644915298994228</v>
      </c>
    </row>
    <row r="38" spans="3:12" ht="15" customHeight="1">
      <c r="C38" s="93">
        <v>28</v>
      </c>
      <c r="D38" s="94"/>
      <c r="E38" s="3">
        <f t="shared" si="9"/>
        <v>12.46133594800256</v>
      </c>
      <c r="F38" s="3">
        <f t="shared" si="8"/>
        <v>13.564709754618823</v>
      </c>
      <c r="G38" s="3">
        <f t="shared" si="8"/>
        <v>15.391524724897586</v>
      </c>
      <c r="H38" s="3">
        <f t="shared" si="8"/>
        <v>16.927875044422496</v>
      </c>
      <c r="I38" s="3">
        <f t="shared" si="8"/>
        <v>41.337138151427396</v>
      </c>
      <c r="J38" s="3">
        <f t="shared" si="8"/>
        <v>44.460791836317753</v>
      </c>
      <c r="K38" s="3">
        <f t="shared" si="8"/>
        <v>48.27823577031549</v>
      </c>
      <c r="L38" s="4">
        <f t="shared" si="8"/>
        <v>50.993376268499453</v>
      </c>
    </row>
    <row r="39" spans="3:12" ht="15" customHeight="1">
      <c r="C39" s="93">
        <v>29</v>
      </c>
      <c r="D39" s="94"/>
      <c r="E39" s="3">
        <f t="shared" si="9"/>
        <v>13.121148887960382</v>
      </c>
      <c r="F39" s="3">
        <f t="shared" si="8"/>
        <v>14.256454576274677</v>
      </c>
      <c r="G39" s="3">
        <f t="shared" si="8"/>
        <v>16.132930811928013</v>
      </c>
      <c r="H39" s="3">
        <f t="shared" si="8"/>
        <v>17.708366182824584</v>
      </c>
      <c r="I39" s="3">
        <f t="shared" si="8"/>
        <v>42.556967804292682</v>
      </c>
      <c r="J39" s="3">
        <f t="shared" si="8"/>
        <v>45.722285804174533</v>
      </c>
      <c r="K39" s="3">
        <f t="shared" si="8"/>
        <v>49.587884472898835</v>
      </c>
      <c r="L39" s="4">
        <f t="shared" si="8"/>
        <v>52.335617785933614</v>
      </c>
    </row>
    <row r="40" spans="3:12" ht="15" customHeight="1">
      <c r="C40" s="93">
        <v>30</v>
      </c>
      <c r="D40" s="94"/>
      <c r="E40" s="3">
        <f t="shared" si="9"/>
        <v>13.786719859502711</v>
      </c>
      <c r="F40" s="3">
        <f t="shared" si="8"/>
        <v>14.953456528455439</v>
      </c>
      <c r="G40" s="3">
        <f t="shared" si="8"/>
        <v>16.878790248078939</v>
      </c>
      <c r="H40" s="3">
        <f t="shared" si="8"/>
        <v>18.492660981953474</v>
      </c>
      <c r="I40" s="3">
        <f t="shared" si="8"/>
        <v>43.772971825742189</v>
      </c>
      <c r="J40" s="3">
        <f t="shared" si="8"/>
        <v>46.979242243671159</v>
      </c>
      <c r="K40" s="3">
        <f t="shared" si="8"/>
        <v>50.892181311517092</v>
      </c>
      <c r="L40" s="4">
        <f t="shared" si="8"/>
        <v>53.671961930240592</v>
      </c>
    </row>
    <row r="41" spans="3:12" ht="15" customHeight="1">
      <c r="C41" s="93"/>
      <c r="D41" s="94"/>
      <c r="E41" s="5"/>
      <c r="F41" s="5"/>
      <c r="G41" s="5"/>
      <c r="H41" s="5"/>
      <c r="I41" s="5"/>
      <c r="J41" s="5"/>
      <c r="K41" s="5"/>
      <c r="L41" s="6"/>
    </row>
    <row r="42" spans="3:12" ht="15" customHeight="1">
      <c r="C42" s="93">
        <v>40</v>
      </c>
      <c r="D42" s="94"/>
      <c r="E42" s="3">
        <f>_xlfn.CHISQ.INV.RT(E$4,$C42)</f>
        <v>20.706535316970083</v>
      </c>
      <c r="F42" s="3">
        <f t="shared" ref="F42:L46" si="10">_xlfn.CHISQ.INV.RT(F$4,$C42)</f>
        <v>22.164261252975162</v>
      </c>
      <c r="G42" s="3">
        <f t="shared" si="10"/>
        <v>24.540981643458863</v>
      </c>
      <c r="H42" s="3">
        <f t="shared" si="10"/>
        <v>26.509303196693111</v>
      </c>
      <c r="I42" s="3">
        <f t="shared" si="10"/>
        <v>55.75847927888703</v>
      </c>
      <c r="J42" s="3">
        <f t="shared" si="10"/>
        <v>59.341707143171199</v>
      </c>
      <c r="K42" s="3">
        <f t="shared" si="10"/>
        <v>63.690739751564458</v>
      </c>
      <c r="L42" s="4">
        <f t="shared" si="10"/>
        <v>66.765961832803924</v>
      </c>
    </row>
    <row r="43" spans="3:12" ht="15" customHeight="1">
      <c r="C43" s="93">
        <v>60</v>
      </c>
      <c r="D43" s="94"/>
      <c r="E43" s="3">
        <f t="shared" ref="E43:E46" si="11">_xlfn.CHISQ.INV.RT(E$4,$C43)</f>
        <v>35.534491078738533</v>
      </c>
      <c r="F43" s="3">
        <f t="shared" si="10"/>
        <v>37.484851529803777</v>
      </c>
      <c r="G43" s="3">
        <f t="shared" si="10"/>
        <v>40.623255805419568</v>
      </c>
      <c r="H43" s="3">
        <f t="shared" si="10"/>
        <v>43.187958453989765</v>
      </c>
      <c r="I43" s="3">
        <f t="shared" si="10"/>
        <v>79.081944487848716</v>
      </c>
      <c r="J43" s="3">
        <f t="shared" si="10"/>
        <v>83.297674877173193</v>
      </c>
      <c r="K43" s="3">
        <f t="shared" si="10"/>
        <v>88.379418901449327</v>
      </c>
      <c r="L43" s="4">
        <f t="shared" si="10"/>
        <v>91.951698159629714</v>
      </c>
    </row>
    <row r="44" spans="3:12" ht="15" customHeight="1">
      <c r="C44" s="93">
        <v>120</v>
      </c>
      <c r="D44" s="94"/>
      <c r="E44" s="3">
        <f t="shared" si="11"/>
        <v>83.851572164554156</v>
      </c>
      <c r="F44" s="3">
        <f t="shared" si="10"/>
        <v>86.923279655353866</v>
      </c>
      <c r="G44" s="3">
        <f t="shared" si="10"/>
        <v>91.790202588191264</v>
      </c>
      <c r="H44" s="3">
        <f t="shared" si="10"/>
        <v>95.704637041684038</v>
      </c>
      <c r="I44" s="18">
        <f t="shared" si="10"/>
        <v>146.56735758076744</v>
      </c>
      <c r="J44" s="18">
        <f t="shared" si="10"/>
        <v>152.21140272515154</v>
      </c>
      <c r="K44" s="18">
        <f t="shared" si="10"/>
        <v>158.95016589730622</v>
      </c>
      <c r="L44" s="19">
        <f t="shared" si="10"/>
        <v>163.64818380853757</v>
      </c>
    </row>
    <row r="45" spans="3:12" ht="15" customHeight="1">
      <c r="C45" s="93">
        <v>200</v>
      </c>
      <c r="D45" s="94"/>
      <c r="E45" s="18">
        <f t="shared" si="11"/>
        <v>152.24099168737837</v>
      </c>
      <c r="F45" s="18">
        <f t="shared" si="10"/>
        <v>156.43196610759171</v>
      </c>
      <c r="G45" s="18">
        <f t="shared" si="10"/>
        <v>163.02125890536422</v>
      </c>
      <c r="H45" s="18">
        <f t="shared" si="10"/>
        <v>168.27855443662838</v>
      </c>
      <c r="I45" s="18">
        <f t="shared" si="10"/>
        <v>233.99426889232492</v>
      </c>
      <c r="J45" s="18">
        <f t="shared" si="10"/>
        <v>241.05789550631093</v>
      </c>
      <c r="K45" s="18">
        <f t="shared" si="10"/>
        <v>249.44512298144161</v>
      </c>
      <c r="L45" s="19">
        <f t="shared" si="10"/>
        <v>255.26415545152315</v>
      </c>
    </row>
    <row r="46" spans="3:12" ht="15" customHeight="1" thickBot="1">
      <c r="C46" s="99">
        <v>360</v>
      </c>
      <c r="D46" s="100"/>
      <c r="E46" s="20">
        <f t="shared" si="11"/>
        <v>294.64141489242485</v>
      </c>
      <c r="F46" s="20">
        <f t="shared" si="10"/>
        <v>300.53252904330634</v>
      </c>
      <c r="G46" s="20">
        <f t="shared" si="10"/>
        <v>309.73594694065292</v>
      </c>
      <c r="H46" s="20">
        <f t="shared" si="10"/>
        <v>317.02987097367986</v>
      </c>
      <c r="I46" s="20">
        <f t="shared" si="10"/>
        <v>405.24350231839315</v>
      </c>
      <c r="J46" s="20">
        <f t="shared" si="10"/>
        <v>414.45929417871719</v>
      </c>
      <c r="K46" s="20">
        <f t="shared" si="10"/>
        <v>425.34698063333047</v>
      </c>
      <c r="L46" s="21">
        <f t="shared" si="10"/>
        <v>432.86731499010989</v>
      </c>
    </row>
    <row r="47" spans="3:12" ht="15" customHeight="1" thickTop="1"/>
  </sheetData>
  <mergeCells count="50">
    <mergeCell ref="C2:L2"/>
    <mergeCell ref="E4:E5"/>
    <mergeCell ref="F4:F5"/>
    <mergeCell ref="G4:G5"/>
    <mergeCell ref="H4:H5"/>
    <mergeCell ref="I4:I5"/>
    <mergeCell ref="J4:J5"/>
    <mergeCell ref="K4:K5"/>
    <mergeCell ref="L4:L5"/>
    <mergeCell ref="C17:D17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29:D29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41:D41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2:D42"/>
    <mergeCell ref="C43:D43"/>
    <mergeCell ref="C44:D44"/>
    <mergeCell ref="C45:D45"/>
    <mergeCell ref="C46:D46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解答_標本不偏分散①</vt:lpstr>
      <vt:lpstr>標本不偏分散①</vt:lpstr>
      <vt:lpstr>解答_標本不偏分散②</vt:lpstr>
      <vt:lpstr>標本不偏分散②</vt:lpstr>
      <vt:lpstr>解答_標準正規分布表</vt:lpstr>
      <vt:lpstr>標準正規分布表</vt:lpstr>
      <vt:lpstr>元データ</vt:lpstr>
      <vt:lpstr>t分布表</vt:lpstr>
      <vt:lpstr>カイ二乗分布表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河野　洋</cp:lastModifiedBy>
  <dcterms:created xsi:type="dcterms:W3CDTF">2025-09-02T08:09:35Z</dcterms:created>
  <dcterms:modified xsi:type="dcterms:W3CDTF">2025-11-12T00:07:45Z</dcterms:modified>
</cp:coreProperties>
</file>