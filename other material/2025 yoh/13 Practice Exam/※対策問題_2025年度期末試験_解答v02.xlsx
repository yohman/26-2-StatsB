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itakuuacjp-my.sharepoint.com/personal/dsunaga_reitaku-u_ac_jp/Documents/麗澤/教務/2025/統計学/期末試験/対策問題作成/"/>
    </mc:Choice>
  </mc:AlternateContent>
  <xr:revisionPtr revIDLastSave="30" documentId="8_{67C29889-7940-4D0B-8BD0-438BF8D8A154}" xr6:coauthVersionLast="47" xr6:coauthVersionMax="47" xr10:uidLastSave="{57774E36-7FDD-437E-939E-6786250F41DB}"/>
  <bookViews>
    <workbookView xWindow="19030" yWindow="430" windowWidth="19370" windowHeight="19160" activeTab="3" xr2:uid="{469BD4B2-16A6-4364-A600-F1759FA31C7D}"/>
  </bookViews>
  <sheets>
    <sheet name="Q1" sheetId="2" r:id="rId1"/>
    <sheet name="Q2" sheetId="4" r:id="rId2"/>
    <sheet name="Q3" sheetId="5" r:id="rId3"/>
    <sheet name="Q4(1)-(2)" sheetId="6" r:id="rId4"/>
    <sheet name="Q4(3)-(5)" sheetId="7" r:id="rId5"/>
    <sheet name="Q5" sheetId="11" r:id="rId6"/>
    <sheet name="Q5_est" sheetId="9" r:id="rId7"/>
    <sheet name="Q6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5" l="1"/>
  <c r="I11" i="10"/>
  <c r="G11" i="10"/>
  <c r="G14" i="10" s="1"/>
  <c r="G9" i="10"/>
  <c r="G13" i="10" s="1"/>
  <c r="G7" i="10"/>
  <c r="G15" i="10" l="1"/>
  <c r="C9" i="4" l="1"/>
  <c r="B7" i="9" l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I7" i="7"/>
  <c r="F16" i="7"/>
  <c r="F15" i="7"/>
  <c r="E14" i="7"/>
  <c r="E13" i="7"/>
  <c r="D9" i="7"/>
  <c r="D10" i="7" s="1"/>
  <c r="D11" i="7" s="1"/>
  <c r="D12" i="7" s="1"/>
  <c r="H8" i="6"/>
  <c r="F7" i="6"/>
  <c r="E8" i="6" s="1"/>
  <c r="F10" i="5"/>
  <c r="G10" i="5"/>
  <c r="G14" i="5"/>
  <c r="F14" i="5"/>
  <c r="F7" i="5"/>
  <c r="F4" i="5"/>
  <c r="E8" i="5"/>
  <c r="E5" i="5"/>
  <c r="I10" i="7" l="1"/>
  <c r="I9" i="7"/>
  <c r="H10" i="7"/>
  <c r="H9" i="7"/>
  <c r="F9" i="7"/>
  <c r="F11" i="7"/>
  <c r="F8" i="7"/>
  <c r="F12" i="7"/>
  <c r="F10" i="7"/>
  <c r="F8" i="6"/>
  <c r="F13" i="7" l="1"/>
  <c r="G16" i="7" s="1"/>
  <c r="G15" i="7" l="1"/>
  <c r="F9" i="4" l="1"/>
  <c r="G9" i="2"/>
  <c r="H10" i="2"/>
  <c r="G14" i="2"/>
  <c r="G13" i="2"/>
  <c r="I12" i="2"/>
  <c r="G12" i="2"/>
  <c r="I11" i="2"/>
  <c r="H11" i="2"/>
  <c r="G11" i="2"/>
  <c r="I10" i="2"/>
  <c r="G10" i="2"/>
  <c r="L9" i="2"/>
  <c r="K9" i="2"/>
  <c r="I14" i="2" l="1"/>
  <c r="H12" i="2"/>
  <c r="J12" i="2" s="1"/>
  <c r="H13" i="2"/>
  <c r="J13" i="2" s="1"/>
  <c r="I13" i="2"/>
  <c r="H9" i="2"/>
  <c r="I9" i="2"/>
  <c r="H14" i="2"/>
  <c r="E9" i="4"/>
  <c r="J9" i="2"/>
  <c r="J11" i="2"/>
  <c r="J10" i="2"/>
  <c r="J14" i="2" l="1"/>
  <c r="J16" i="2" s="1"/>
  <c r="H13" i="4"/>
  <c r="H14" i="4"/>
  <c r="H11" i="4"/>
  <c r="H10" i="4"/>
  <c r="H9" i="4"/>
  <c r="H16" i="4" s="1"/>
  <c r="H12" i="4"/>
  <c r="J17" i="2"/>
  <c r="J15" i="2" l="1"/>
</calcChain>
</file>

<file path=xl/sharedStrings.xml><?xml version="1.0" encoding="utf-8"?>
<sst xmlns="http://schemas.openxmlformats.org/spreadsheetml/2006/main" count="232" uniqueCount="144">
  <si>
    <t>Q1</t>
    <phoneticPr fontId="2"/>
  </si>
  <si>
    <t>π</t>
    <phoneticPr fontId="2"/>
  </si>
  <si>
    <t>n</t>
    <phoneticPr fontId="2"/>
  </si>
  <si>
    <t>x</t>
    <phoneticPr fontId="2"/>
  </si>
  <si>
    <t>nCx</t>
    <phoneticPr fontId="2"/>
  </si>
  <si>
    <r>
      <t>π</t>
    </r>
    <r>
      <rPr>
        <vertAlign val="superscript"/>
        <sz val="11"/>
        <color theme="1"/>
        <rFont val="游ゴシック"/>
        <family val="3"/>
        <charset val="128"/>
        <scheme val="minor"/>
      </rPr>
      <t>x</t>
    </r>
    <phoneticPr fontId="2"/>
  </si>
  <si>
    <r>
      <t>(1-π)</t>
    </r>
    <r>
      <rPr>
        <vertAlign val="superscript"/>
        <sz val="11"/>
        <color theme="1"/>
        <rFont val="游ゴシック"/>
        <family val="3"/>
        <charset val="128"/>
        <scheme val="minor"/>
      </rPr>
      <t>n-x</t>
    </r>
    <phoneticPr fontId="2"/>
  </si>
  <si>
    <t>Pr(x)</t>
    <phoneticPr fontId="2"/>
  </si>
  <si>
    <t>E(x)</t>
    <phoneticPr fontId="2"/>
  </si>
  <si>
    <t>V(x)</t>
    <phoneticPr fontId="2"/>
  </si>
  <si>
    <t>total</t>
    <phoneticPr fontId="2"/>
  </si>
  <si>
    <t>Q2</t>
    <phoneticPr fontId="2"/>
  </si>
  <si>
    <t>Q3</t>
    <phoneticPr fontId="2"/>
  </si>
  <si>
    <t>平均</t>
    <rPh sb="0" eb="2">
      <t>ヘイキン</t>
    </rPh>
    <phoneticPr fontId="2"/>
  </si>
  <si>
    <t>SD</t>
    <phoneticPr fontId="2"/>
  </si>
  <si>
    <t>z</t>
    <phoneticPr fontId="2"/>
  </si>
  <si>
    <t>Q4</t>
    <phoneticPr fontId="2"/>
  </si>
  <si>
    <t>id</t>
    <phoneticPr fontId="2"/>
  </si>
  <si>
    <t>ave</t>
    <phoneticPr fontId="2"/>
  </si>
  <si>
    <r>
      <t>(x-ave)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phoneticPr fontId="2"/>
  </si>
  <si>
    <t>標本分散</t>
    <rPh sb="0" eb="4">
      <t>ヒョウホンブンサン</t>
    </rPh>
    <phoneticPr fontId="2"/>
  </si>
  <si>
    <t>標本不偏分散</t>
    <rPh sb="0" eb="6">
      <t>ヒョウホンフヘンブンサン</t>
    </rPh>
    <phoneticPr fontId="2"/>
  </si>
  <si>
    <t>下限値</t>
    <rPh sb="0" eb="3">
      <t>カゲンチ</t>
    </rPh>
    <phoneticPr fontId="2"/>
  </si>
  <si>
    <t>上限値</t>
    <rPh sb="0" eb="3">
      <t>ジョウゲンチ</t>
    </rPh>
    <phoneticPr fontId="2"/>
  </si>
  <si>
    <t>Pr(x&gt;=3)</t>
    <phoneticPr fontId="2"/>
  </si>
  <si>
    <t>（１）不良品の数の期待値と分散を求めなさい．</t>
    <phoneticPr fontId="2"/>
  </si>
  <si>
    <t>（２）不良品が1個も含まれない確率を求めなさい．</t>
    <phoneticPr fontId="2"/>
  </si>
  <si>
    <t>ある生産ラインでは，20000個に1個の割合で不良品が混入することがわかっている．これから出荷する製品30000個のうち，不良品の数をxとすると，その確率分布はポアソン分布で近似できるものとする．</t>
    <phoneticPr fontId="2"/>
  </si>
  <si>
    <t>以下の問いに答えなさい．</t>
    <phoneticPr fontId="2"/>
  </si>
  <si>
    <t>（１）あるクジには，A賞3本，B賞5本，C賞2本が入っている．このクジを1回だけ引くとき，A賞またはB賞が当たる確率はいくつか．</t>
    <phoneticPr fontId="2"/>
  </si>
  <si>
    <t>（２）サイコロを1回投げて，出た目をxとする．事象Aを「xは偶数である」，事象Bを「xは3の倍数である」としたとき，事象AまたはBが起こる確率Pr(A∪B)はいくつか．なお，サイコロのそれぞれの目が出る確率は等しいものとする．</t>
    <phoneticPr fontId="2"/>
  </si>
  <si>
    <t>（３）あるコインを1回投げたとき，表が出る確率は0.4とする．このコインを2回投げて，2回とも表が出る確率はいくつか．なお，1回目の結果は，2回目の結果に影響を与えないものとする．</t>
    <phoneticPr fontId="2"/>
  </si>
  <si>
    <t>少なくとも1枚はハート：1 - (114/204) = 90/204 = 15/34</t>
    <rPh sb="0" eb="1">
      <t>スク</t>
    </rPh>
    <rPh sb="6" eb="7">
      <t>マイ</t>
    </rPh>
    <phoneticPr fontId="2"/>
  </si>
  <si>
    <t>2枚ともハート以外：(39/52)×(38/51) = 114/204</t>
    <phoneticPr fontId="2"/>
  </si>
  <si>
    <t>0.4 × 0.4 = 0.16 （独立の場合）</t>
    <phoneticPr fontId="2"/>
  </si>
  <si>
    <t>または，nCx π^x (1-π)^(n-x) = 2C2 (0.4)^2 (0.6)^0 = 0.16</t>
    <phoneticPr fontId="2"/>
  </si>
  <si>
    <t>A: 統計学が得意である，B: 男子である</t>
    <rPh sb="3" eb="6">
      <t>トウケイガク</t>
    </rPh>
    <rPh sb="7" eb="9">
      <t>トクイ</t>
    </rPh>
    <rPh sb="16" eb="18">
      <t>ダンシ</t>
    </rPh>
    <phoneticPr fontId="2"/>
  </si>
  <si>
    <t>【単純確率】</t>
    <rPh sb="1" eb="5">
      <t>タンジュンカクリツ</t>
    </rPh>
    <phoneticPr fontId="2"/>
  </si>
  <si>
    <t>【和事象の確率】</t>
    <rPh sb="1" eb="4">
      <t>ワジショウ</t>
    </rPh>
    <rPh sb="5" eb="7">
      <t>カクリツ</t>
    </rPh>
    <phoneticPr fontId="2"/>
  </si>
  <si>
    <t>【積事象の確率】</t>
    <rPh sb="1" eb="4">
      <t>セキジショウ</t>
    </rPh>
    <rPh sb="5" eb="7">
      <t>カクリツ</t>
    </rPh>
    <phoneticPr fontId="2"/>
  </si>
  <si>
    <t>【同時確率】</t>
    <rPh sb="1" eb="5">
      <t>ドウジカクリツ</t>
    </rPh>
    <phoneticPr fontId="2"/>
  </si>
  <si>
    <t>【条件付き確率】</t>
    <rPh sb="1" eb="4">
      <t>ジョウケンツ</t>
    </rPh>
    <rPh sb="5" eb="7">
      <t>カクリツ</t>
    </rPh>
    <phoneticPr fontId="2"/>
  </si>
  <si>
    <t>点以上</t>
    <rPh sb="0" eb="1">
      <t>テン</t>
    </rPh>
    <rPh sb="1" eb="3">
      <t>イジョウ</t>
    </rPh>
    <phoneticPr fontId="2"/>
  </si>
  <si>
    <t>（３）別のクラスBの統計学の試験の受験者から抽出した5人分の試験得点xiは，以下の表のとおりである．標本平均x_barと標本分散S^2を求めなさい．</t>
    <phoneticPr fontId="2"/>
  </si>
  <si>
    <t>（４）標本不偏分散を求めなさい．</t>
    <phoneticPr fontId="2"/>
  </si>
  <si>
    <t>（５）標本平均は正規分布に従い，標本分散の値は母分散と一致するかわからないとき，母平均μの95%信頼区間の下限値と上限値を求めなさい．</t>
    <phoneticPr fontId="2"/>
  </si>
  <si>
    <t>t分布5%点</t>
    <rPh sb="1" eb="3">
      <t>ブンプ</t>
    </rPh>
    <rPh sb="5" eb="6">
      <t>テン</t>
    </rPh>
    <phoneticPr fontId="2"/>
  </si>
  <si>
    <t>(配布の統計表の値)</t>
    <rPh sb="1" eb="3">
      <t>ハイフ</t>
    </rPh>
    <rPh sb="4" eb="7">
      <t>トウケイヒョウ</t>
    </rPh>
    <rPh sb="8" eb="9">
      <t>アタイ</t>
    </rPh>
    <phoneticPr fontId="2"/>
  </si>
  <si>
    <t>中央線高円寺駅近くの中古マンションの販売実績（2012年下半期）</t>
    <rPh sb="0" eb="3">
      <t>チュウオウセン</t>
    </rPh>
    <rPh sb="3" eb="6">
      <t>コウエンジ</t>
    </rPh>
    <rPh sb="6" eb="7">
      <t>エキ</t>
    </rPh>
    <rPh sb="7" eb="8">
      <t>チカ</t>
    </rPh>
    <rPh sb="10" eb="12">
      <t>チュウコ</t>
    </rPh>
    <rPh sb="18" eb="20">
      <t>ハンバイ</t>
    </rPh>
    <rPh sb="20" eb="22">
      <t>ジッセキ</t>
    </rPh>
    <rPh sb="27" eb="28">
      <t>ネン</t>
    </rPh>
    <rPh sb="28" eb="31">
      <t>シモハンキ</t>
    </rPh>
    <phoneticPr fontId="2"/>
  </si>
  <si>
    <t>価格</t>
    <rPh sb="0" eb="2">
      <t>カカク</t>
    </rPh>
    <phoneticPr fontId="2"/>
  </si>
  <si>
    <t>床面積</t>
    <rPh sb="0" eb="1">
      <t>ユカ</t>
    </rPh>
    <rPh sb="1" eb="3">
      <t>メンセキ</t>
    </rPh>
    <phoneticPr fontId="2"/>
  </si>
  <si>
    <t>築後年数</t>
    <rPh sb="0" eb="2">
      <t>チクゴ</t>
    </rPh>
    <rPh sb="2" eb="4">
      <t>ネンスウ</t>
    </rPh>
    <phoneticPr fontId="2"/>
  </si>
  <si>
    <t>万円</t>
    <rPh sb="0" eb="2">
      <t>マンエン</t>
    </rPh>
    <phoneticPr fontId="2"/>
  </si>
  <si>
    <t>分</t>
    <rPh sb="0" eb="1">
      <t>フン</t>
    </rPh>
    <phoneticPr fontId="2"/>
  </si>
  <si>
    <t>ｍ^2</t>
    <phoneticPr fontId="2"/>
  </si>
  <si>
    <t>年</t>
    <rPh sb="0" eb="1">
      <t>ネン</t>
    </rPh>
    <phoneticPr fontId="2"/>
  </si>
  <si>
    <t>ID</t>
    <phoneticPr fontId="2"/>
  </si>
  <si>
    <t>目的変数</t>
    <rPh sb="0" eb="4">
      <t>モクテキヘンスウ</t>
    </rPh>
    <phoneticPr fontId="2"/>
  </si>
  <si>
    <t>徒歩時間</t>
  </si>
  <si>
    <t>徒歩時間</t>
    <rPh sb="0" eb="2">
      <t>トホ</t>
    </rPh>
    <rPh sb="2" eb="4">
      <t>ジカン</t>
    </rPh>
    <phoneticPr fontId="2"/>
  </si>
  <si>
    <t>概要</t>
  </si>
  <si>
    <t>回帰統計</t>
  </si>
  <si>
    <t>重相関 R</t>
  </si>
  <si>
    <t>重決定 R2</t>
  </si>
  <si>
    <t>補正 R2</t>
  </si>
  <si>
    <t>標準誤差</t>
  </si>
  <si>
    <t>観測数</t>
  </si>
  <si>
    <t>分散分析表</t>
  </si>
  <si>
    <t>回帰</t>
  </si>
  <si>
    <t>残差</t>
  </si>
  <si>
    <t>合計</t>
  </si>
  <si>
    <t>切片</t>
  </si>
  <si>
    <t>自由度</t>
  </si>
  <si>
    <t>変動</t>
  </si>
  <si>
    <t>分散</t>
  </si>
  <si>
    <t>観測された分散比</t>
  </si>
  <si>
    <t>有意 F</t>
  </si>
  <si>
    <t>係数</t>
  </si>
  <si>
    <t xml:space="preserve">t </t>
  </si>
  <si>
    <t>P-値</t>
  </si>
  <si>
    <t>下限 95%</t>
  </si>
  <si>
    <t>上限 95%</t>
  </si>
  <si>
    <t>下限 95.0%</t>
  </si>
  <si>
    <t>上限 95.0%</t>
  </si>
  <si>
    <t>駅からの徒歩時間</t>
    <rPh sb="0" eb="1">
      <t>エキ</t>
    </rPh>
    <rPh sb="4" eb="8">
      <t>トホジカン</t>
    </rPh>
    <phoneticPr fontId="2"/>
  </si>
  <si>
    <t>床面積</t>
  </si>
  <si>
    <t>床面積</t>
    <rPh sb="0" eb="3">
      <t>ユカメンセキ</t>
    </rPh>
    <phoneticPr fontId="2"/>
  </si>
  <si>
    <t>築後年数</t>
  </si>
  <si>
    <t>築後年数</t>
    <rPh sb="0" eb="4">
      <t>チクゴネンスウ</t>
    </rPh>
    <phoneticPr fontId="2"/>
  </si>
  <si>
    <t>＊</t>
    <phoneticPr fontId="2"/>
  </si>
  <si>
    <t xml:space="preserve">（３）ヒットが1本もない確率を求めなさい． </t>
    <phoneticPr fontId="2"/>
  </si>
  <si>
    <t xml:space="preserve">（４）ヒット数が3本以上である確率を求めなさい． </t>
    <phoneticPr fontId="2"/>
  </si>
  <si>
    <r>
      <t>打率0.31の野球選手が，今日の試合で5回打席に立つとする．ヒットの本数を</t>
    </r>
    <r>
      <rPr>
        <sz val="11"/>
        <color theme="1"/>
        <rFont val="Cambria Math"/>
        <family val="2"/>
      </rPr>
      <t>𝑥とし、ヒットを打つ確率</t>
    </r>
    <r>
      <rPr>
        <sz val="11"/>
        <color theme="1"/>
        <rFont val="游ゴシック"/>
        <family val="2"/>
        <charset val="128"/>
        <scheme val="minor"/>
      </rPr>
      <t>Pr(</t>
    </r>
    <r>
      <rPr>
        <sz val="11"/>
        <color theme="1"/>
        <rFont val="Cambria Math"/>
        <family val="2"/>
      </rPr>
      <t>𝑥)</t>
    </r>
    <r>
      <rPr>
        <sz val="11"/>
        <color theme="1"/>
        <rFont val="游ゴシック"/>
        <family val="2"/>
        <charset val="128"/>
        <scheme val="minor"/>
      </rPr>
      <t>について考えたい．</t>
    </r>
    <rPh sb="34" eb="36">
      <t>ホンスウ</t>
    </rPh>
    <rPh sb="46" eb="47">
      <t>ウ</t>
    </rPh>
    <rPh sb="48" eb="50">
      <t>カクリツ</t>
    </rPh>
    <phoneticPr fontId="2"/>
  </si>
  <si>
    <t>あるクラスAの全員の統計学の試験得点を調べたところ，クラスの平均点は60点，標準偏差は10点であった．このクラスに所属する学生の得点は，正規分布N(60, 10^2)にしたがう確率変数xであるとする．ただし，得点はすべて整数値とする．</t>
    <phoneticPr fontId="2"/>
  </si>
  <si>
    <t>（１）得点が75点以上の学生は何パーセントか．</t>
    <phoneticPr fontId="2"/>
  </si>
  <si>
    <t>上位10%</t>
    <rPh sb="0" eb="2">
      <t>ジョウイ</t>
    </rPh>
    <phoneticPr fontId="2"/>
  </si>
  <si>
    <t>上下で半分</t>
    <rPh sb="0" eb="2">
      <t>ジョウゲ</t>
    </rPh>
    <rPh sb="3" eb="5">
      <t>ハンブン</t>
    </rPh>
    <phoneticPr fontId="2"/>
  </si>
  <si>
    <t>（１）入力ミスの数の期待値と分散を求めなさい．</t>
    <phoneticPr fontId="2"/>
  </si>
  <si>
    <t>（２）確率分布関数を示しなさい．</t>
    <phoneticPr fontId="2"/>
  </si>
  <si>
    <t>（１）トランプ52枚（ジョーカーを除いた13枚×4スート）から1枚引き，引いたカードを戻さずにもう1枚引く．引いた2枚のトランプのうち，少なくとも1枚がハートである確率はいくつか．</t>
    <phoneticPr fontId="2"/>
  </si>
  <si>
    <t>（２）あるクラスでは，学生40人のうち，男子が20人，女子が20人である．また，統計学が得意な学生は15人おり，そのうちの8人が男子である．ランダムに学生を1人選ぶとき，その学生が「統計学が得意である」という条件のもとで，「男子である」確率はいくつか．</t>
    <phoneticPr fontId="2"/>
  </si>
  <si>
    <t>回数</t>
    <rPh sb="0" eb="2">
      <t>カイスウ</t>
    </rPh>
    <phoneticPr fontId="2"/>
  </si>
  <si>
    <t>重量</t>
    <rPh sb="0" eb="2">
      <t>ジュウリョウ</t>
    </rPh>
    <phoneticPr fontId="2"/>
  </si>
  <si>
    <t>仮説</t>
    <rPh sb="0" eb="2">
      <t>カセツ</t>
    </rPh>
    <phoneticPr fontId="2"/>
  </si>
  <si>
    <t>帰無仮説</t>
    <rPh sb="0" eb="4">
      <t>キムカセツ</t>
    </rPh>
    <phoneticPr fontId="2"/>
  </si>
  <si>
    <t>μ=150</t>
    <phoneticPr fontId="2"/>
  </si>
  <si>
    <t>i</t>
    <phoneticPr fontId="2"/>
  </si>
  <si>
    <r>
      <t>x</t>
    </r>
    <r>
      <rPr>
        <vertAlign val="subscript"/>
        <sz val="11"/>
        <color theme="1"/>
        <rFont val="游ゴシック"/>
        <family val="3"/>
        <charset val="128"/>
        <scheme val="minor"/>
      </rPr>
      <t>i</t>
    </r>
    <phoneticPr fontId="2"/>
  </si>
  <si>
    <t>対立仮説</t>
    <rPh sb="0" eb="2">
      <t>タイリツ</t>
    </rPh>
    <rPh sb="2" eb="4">
      <t>カセツ</t>
    </rPh>
    <phoneticPr fontId="2"/>
  </si>
  <si>
    <t>μ≠150</t>
    <phoneticPr fontId="2"/>
  </si>
  <si>
    <t>臨界値</t>
    <rPh sb="0" eb="3">
      <t>リンカイチ</t>
    </rPh>
    <phoneticPr fontId="2"/>
  </si>
  <si>
    <r>
      <t>t</t>
    </r>
    <r>
      <rPr>
        <vertAlign val="subscript"/>
        <sz val="11"/>
        <color theme="1"/>
        <rFont val="游ゴシック"/>
        <family val="3"/>
        <charset val="128"/>
        <scheme val="minor"/>
      </rPr>
      <t>0.025</t>
    </r>
    <r>
      <rPr>
        <sz val="11"/>
        <color theme="1"/>
        <rFont val="游ゴシック"/>
        <family val="2"/>
        <charset val="128"/>
        <scheme val="minor"/>
      </rPr>
      <t>(9)</t>
    </r>
    <phoneticPr fontId="2"/>
  </si>
  <si>
    <t>t値の計算</t>
    <rPh sb="1" eb="2">
      <t>アタイ</t>
    </rPh>
    <rPh sb="3" eb="5">
      <t>ケイサン</t>
    </rPh>
    <phoneticPr fontId="2"/>
  </si>
  <si>
    <t>標本平均</t>
    <rPh sb="0" eb="4">
      <t>ヒョウホンヘイキン</t>
    </rPh>
    <phoneticPr fontId="2"/>
  </si>
  <si>
    <t>母平均</t>
    <rPh sb="0" eb="3">
      <t>ボヘイキン</t>
    </rPh>
    <phoneticPr fontId="2"/>
  </si>
  <si>
    <t>標本不偏分散</t>
    <rPh sb="0" eb="4">
      <t>ヒョウホンフヘン</t>
    </rPh>
    <rPh sb="4" eb="6">
      <t>ブンサン</t>
    </rPh>
    <phoneticPr fontId="2"/>
  </si>
  <si>
    <t>標本数</t>
    <rPh sb="0" eb="3">
      <t>ヒョウホンスウ</t>
    </rPh>
    <phoneticPr fontId="2"/>
  </si>
  <si>
    <t>分子の部分</t>
    <rPh sb="0" eb="2">
      <t>ブンシ</t>
    </rPh>
    <rPh sb="3" eb="5">
      <t>ブブン</t>
    </rPh>
    <phoneticPr fontId="2"/>
  </si>
  <si>
    <t>分母の部分</t>
    <rPh sb="0" eb="2">
      <t>ブンボ</t>
    </rPh>
    <rPh sb="3" eb="5">
      <t>ブブン</t>
    </rPh>
    <phoneticPr fontId="2"/>
  </si>
  <si>
    <t>t値</t>
    <rPh sb="1" eb="2">
      <t>アタイ</t>
    </rPh>
    <phoneticPr fontId="2"/>
  </si>
  <si>
    <t>ポテトの重量150g表記は本当か？</t>
    <rPh sb="4" eb="6">
      <t>ジュウリョウ</t>
    </rPh>
    <rPh sb="10" eb="12">
      <t>ヒョウキ</t>
    </rPh>
    <rPh sb="13" eb="15">
      <t>ホントウ</t>
    </rPh>
    <phoneticPr fontId="2"/>
  </si>
  <si>
    <t>標本標準偏差</t>
    <rPh sb="0" eb="2">
      <t>ヒョウホン</t>
    </rPh>
    <rPh sb="2" eb="6">
      <t>ヒョウジュンヘンサ</t>
    </rPh>
    <phoneticPr fontId="2"/>
  </si>
  <si>
    <t>Q6</t>
    <phoneticPr fontId="2"/>
  </si>
  <si>
    <t>Q5</t>
    <phoneticPr fontId="2"/>
  </si>
  <si>
    <t>（１）目的変数と説明変数はそれぞれ何か．</t>
    <phoneticPr fontId="2"/>
  </si>
  <si>
    <t>（４）回帰係数bについて，有意水準（危険域）5%で考察を行ったとき，以下のうち正しいものはどれか．</t>
    <phoneticPr fontId="2"/>
  </si>
  <si>
    <t>①有意水準5%で帰無仮説を棄却できず，対立仮説を採択する．</t>
    <phoneticPr fontId="2"/>
  </si>
  <si>
    <t>（２）自由度修正済み決定係数はいくつか．</t>
    <phoneticPr fontId="2"/>
  </si>
  <si>
    <t>②有意水準5％で帰無仮説を棄却できず，帰無仮説を採択する．</t>
    <phoneticPr fontId="2"/>
  </si>
  <si>
    <t>（３）定数項（切片a）と回帰係数（傾きb）はそれぞれいくつか．</t>
    <phoneticPr fontId="2"/>
  </si>
  <si>
    <t>③有意水準5％で帰無仮説を棄却し，対立仮説を採択する．</t>
    <phoneticPr fontId="2"/>
  </si>
  <si>
    <t>④有意水準5％で帰無仮説を棄却し，帰無仮説を採択する．</t>
    <phoneticPr fontId="2"/>
  </si>
  <si>
    <t>（５）この推定結果からわかることとして，以下のうち正しいものはどれか．</t>
    <phoneticPr fontId="2"/>
  </si>
  <si>
    <t>③説明変数が1単位増加しても，目的変数には何の影響もない．</t>
    <phoneticPr fontId="2"/>
  </si>
  <si>
    <t>④説明変数が1単位増加しても，目的変数に影響があるかどうかわからない．</t>
    <phoneticPr fontId="2"/>
  </si>
  <si>
    <t>問5.	以下の表は，東京都の月平均気温（°C）が1世帯当たりのアイスクリーム・シャーベットへの支出金額（円）に与える影響について，Excelで単回帰分析を行った推定結果の一部である．この表に関して，以下の問いに答えなさい．</t>
    <phoneticPr fontId="2"/>
  </si>
  <si>
    <t>目的変数：アイスクリーム・シャーベット
への支出金額，説明変数：月別平均気温</t>
    <rPh sb="0" eb="4">
      <t>モクテキヘンスウ</t>
    </rPh>
    <rPh sb="22" eb="24">
      <t>シシュツ</t>
    </rPh>
    <rPh sb="24" eb="26">
      <t>キンガク</t>
    </rPh>
    <rPh sb="27" eb="31">
      <t>セツメイヘンスウ</t>
    </rPh>
    <rPh sb="32" eb="34">
      <t>ツキベツ</t>
    </rPh>
    <rPh sb="34" eb="36">
      <t>ヘイキン</t>
    </rPh>
    <rPh sb="36" eb="38">
      <t>キオン</t>
    </rPh>
    <phoneticPr fontId="2"/>
  </si>
  <si>
    <t>①説明変数が1単位増加すると，目的変数が45.9単位増加する．</t>
    <phoneticPr fontId="2"/>
  </si>
  <si>
    <t>②説明変数が1単位増加すると，目的変数が45.9単位減少する．</t>
    <phoneticPr fontId="2"/>
  </si>
  <si>
    <r>
      <rPr>
        <sz val="11"/>
        <color theme="1"/>
        <rFont val="游ゴシック"/>
        <family val="3"/>
        <charset val="128"/>
        <scheme val="minor"/>
      </rPr>
      <t>（２）得点が上位10%の学生をS評価とするとき，対象となるのは得点が何点以上の学生か．ただし，</t>
    </r>
    <r>
      <rPr>
        <sz val="11"/>
        <color rgb="FFFF0000"/>
        <rFont val="游ゴシック"/>
        <family val="2"/>
        <charset val="128"/>
        <scheme val="minor"/>
      </rPr>
      <t>上側確率10%のz値は1.29とする．</t>
    </r>
    <phoneticPr fontId="2"/>
  </si>
  <si>
    <t>→73点</t>
    <rPh sb="3" eb="4">
      <t>テン</t>
    </rPh>
    <phoneticPr fontId="2"/>
  </si>
  <si>
    <t>↑旧：20/40のミス</t>
    <rPh sb="1" eb="2">
      <t>キュウ</t>
    </rPh>
    <phoneticPr fontId="2"/>
  </si>
  <si>
    <t>10%点</t>
    <rPh sb="3" eb="4">
      <t>テン</t>
    </rPh>
    <phoneticPr fontId="2"/>
  </si>
  <si>
    <t>←旧：5%点1.65のミス</t>
    <rPh sb="1" eb="2">
      <t>キュウ</t>
    </rPh>
    <rPh sb="5" eb="6">
      <t>テン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</si>
</sst>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"/>
    <numFmt numFmtId="177" formatCode="0.0000"/>
    <numFmt numFmtId="178" formatCode="0.000"/>
  </numFmts>
  <fonts count="10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vertAlign val="superscript"/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theme="4"/>
      <name val="游ゴシック"/>
      <family val="2"/>
      <charset val="128"/>
      <scheme val="minor"/>
    </font>
    <font>
      <sz val="11"/>
      <color theme="1"/>
      <name val="Cambria Math"/>
      <family val="2"/>
    </font>
    <font>
      <vertAlign val="subscript"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uble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dotted">
        <color auto="1"/>
      </right>
      <top style="double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double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double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double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177" fontId="0" fillId="0" borderId="0" xfId="0" applyNumberFormat="1">
      <alignment vertical="center"/>
    </xf>
    <xf numFmtId="0" fontId="1" fillId="0" borderId="0" xfId="0" applyFont="1">
      <alignment vertical="center"/>
    </xf>
    <xf numFmtId="177" fontId="4" fillId="0" borderId="0" xfId="0" applyNumberFormat="1" applyFont="1">
      <alignment vertical="center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1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0" fillId="0" borderId="3" xfId="0" applyBorder="1">
      <alignment vertical="center"/>
    </xf>
    <xf numFmtId="176" fontId="4" fillId="0" borderId="3" xfId="0" applyNumberFormat="1" applyFont="1" applyBorder="1">
      <alignment vertical="center"/>
    </xf>
    <xf numFmtId="0" fontId="5" fillId="0" borderId="1" xfId="0" applyFont="1" applyBorder="1">
      <alignment vertical="center"/>
    </xf>
    <xf numFmtId="177" fontId="1" fillId="0" borderId="2" xfId="0" applyNumberFormat="1" applyFont="1" applyBorder="1">
      <alignment vertical="center"/>
    </xf>
    <xf numFmtId="177" fontId="0" fillId="0" borderId="2" xfId="0" applyNumberFormat="1" applyBorder="1">
      <alignment vertical="center"/>
    </xf>
    <xf numFmtId="177" fontId="0" fillId="0" borderId="3" xfId="0" applyNumberFormat="1" applyBorder="1">
      <alignment vertical="center"/>
    </xf>
    <xf numFmtId="0" fontId="4" fillId="0" borderId="3" xfId="0" applyFont="1" applyBorder="1">
      <alignment vertical="center"/>
    </xf>
    <xf numFmtId="0" fontId="4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1" fillId="0" borderId="2" xfId="0" applyNumberFormat="1" applyFont="1" applyBorder="1">
      <alignment vertical="center"/>
    </xf>
    <xf numFmtId="178" fontId="0" fillId="0" borderId="2" xfId="0" applyNumberFormat="1" applyBorder="1">
      <alignment vertical="center"/>
    </xf>
    <xf numFmtId="0" fontId="1" fillId="2" borderId="0" xfId="0" applyFont="1" applyFill="1">
      <alignment vertical="center"/>
    </xf>
    <xf numFmtId="0" fontId="4" fillId="2" borderId="0" xfId="0" applyFont="1" applyFill="1">
      <alignment vertical="center"/>
    </xf>
    <xf numFmtId="177" fontId="4" fillId="0" borderId="1" xfId="0" applyNumberFormat="1" applyFont="1" applyBorder="1">
      <alignment vertical="center"/>
    </xf>
    <xf numFmtId="0" fontId="6" fillId="0" borderId="2" xfId="0" applyFont="1" applyBorder="1">
      <alignment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Continuous" vertical="center"/>
    </xf>
    <xf numFmtId="178" fontId="1" fillId="0" borderId="0" xfId="0" applyNumberFormat="1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3" borderId="0" xfId="0" applyFont="1" applyFill="1">
      <alignment vertical="center"/>
    </xf>
    <xf numFmtId="0" fontId="4" fillId="3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0" fontId="1" fillId="0" borderId="9" xfId="0" applyFont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right" vertical="center"/>
    </xf>
    <xf numFmtId="0" fontId="4" fillId="0" borderId="13" xfId="0" applyFont="1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 applyAlignment="1">
      <alignment horizontal="right" vertical="center"/>
    </xf>
    <xf numFmtId="0" fontId="0" fillId="0" borderId="20" xfId="0" applyBorder="1" applyAlignment="1">
      <alignment horizontal="right" vertical="center"/>
    </xf>
    <xf numFmtId="0" fontId="0" fillId="0" borderId="21" xfId="0" applyBorder="1">
      <alignment vertical="center"/>
    </xf>
    <xf numFmtId="0" fontId="0" fillId="0" borderId="22" xfId="0" applyBorder="1" applyAlignment="1">
      <alignment horizontal="right" vertical="center"/>
    </xf>
    <xf numFmtId="0" fontId="0" fillId="0" borderId="23" xfId="0" applyBorder="1">
      <alignment vertical="center"/>
    </xf>
    <xf numFmtId="0" fontId="0" fillId="0" borderId="24" xfId="0" applyBorder="1" applyAlignment="1">
      <alignment horizontal="right" vertical="center"/>
    </xf>
    <xf numFmtId="0" fontId="1" fillId="0" borderId="25" xfId="0" applyFont="1" applyBorder="1">
      <alignment vertical="center"/>
    </xf>
    <xf numFmtId="0" fontId="0" fillId="0" borderId="26" xfId="0" applyBorder="1" applyAlignment="1">
      <alignment horizontal="right" vertical="center"/>
    </xf>
    <xf numFmtId="0" fontId="1" fillId="0" borderId="27" xfId="0" applyFont="1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 applyAlignment="1">
      <alignment horizontal="right" vertical="center"/>
    </xf>
    <xf numFmtId="177" fontId="1" fillId="0" borderId="21" xfId="0" applyNumberFormat="1" applyFont="1" applyBorder="1">
      <alignment vertical="center"/>
    </xf>
    <xf numFmtId="177" fontId="1" fillId="0" borderId="31" xfId="0" applyNumberFormat="1" applyFont="1" applyBorder="1">
      <alignment vertical="center"/>
    </xf>
    <xf numFmtId="178" fontId="1" fillId="0" borderId="19" xfId="0" applyNumberFormat="1" applyFont="1" applyBorder="1">
      <alignment vertical="center"/>
    </xf>
    <xf numFmtId="0" fontId="0" fillId="0" borderId="0" xfId="0" applyAlignment="1">
      <alignment horizontal="left" vertical="center"/>
    </xf>
    <xf numFmtId="0" fontId="1" fillId="2" borderId="4" xfId="0" applyFont="1" applyFill="1" applyBorder="1">
      <alignment vertical="center"/>
    </xf>
    <xf numFmtId="0" fontId="0" fillId="4" borderId="0" xfId="0" applyFill="1">
      <alignment vertical="center"/>
    </xf>
    <xf numFmtId="0" fontId="4" fillId="4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19</xdr:row>
      <xdr:rowOff>0</xdr:rowOff>
    </xdr:from>
    <xdr:to>
      <xdr:col>2</xdr:col>
      <xdr:colOff>9525</xdr:colOff>
      <xdr:row>19</xdr:row>
      <xdr:rowOff>57150</xdr:rowOff>
    </xdr:to>
    <xdr:pic>
      <xdr:nvPicPr>
        <xdr:cNvPr id="2" name="Picture 1" descr="http://www.land.mlit.go.jp/webland/img/gis/estate_price_used_footer_bg.gif">
          <a:extLst>
            <a:ext uri="{FF2B5EF4-FFF2-40B4-BE49-F238E27FC236}">
              <a16:creationId xmlns:a16="http://schemas.microsoft.com/office/drawing/2014/main" id="{58DC28C5-A4E7-4E86-962B-4FA1C1FC0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3302000"/>
          <a:ext cx="9525" cy="571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9525</xdr:colOff>
      <xdr:row>19</xdr:row>
      <xdr:rowOff>57150</xdr:rowOff>
    </xdr:to>
    <xdr:pic>
      <xdr:nvPicPr>
        <xdr:cNvPr id="3" name="Picture 1" descr="http://www.land.mlit.go.jp/webland/img/gis/estate_price_used_footer_bg.gif">
          <a:extLst>
            <a:ext uri="{FF2B5EF4-FFF2-40B4-BE49-F238E27FC236}">
              <a16:creationId xmlns:a16="http://schemas.microsoft.com/office/drawing/2014/main" id="{957F08FB-607E-4002-BE2F-EE0699A34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9200" y="3302000"/>
          <a:ext cx="9525" cy="571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E77FB-EB57-4367-A2D7-1861A9FAA3CE}">
  <dimension ref="B1:L17"/>
  <sheetViews>
    <sheetView showGridLines="0" workbookViewId="0">
      <selection activeCell="I19" sqref="I19"/>
    </sheetView>
  </sheetViews>
  <sheetFormatPr defaultRowHeight="18"/>
  <cols>
    <col min="1" max="1" width="3.58203125" customWidth="1"/>
    <col min="2" max="2" width="3.5" bestFit="1" customWidth="1"/>
    <col min="3" max="3" width="3.5" customWidth="1"/>
    <col min="4" max="4" width="6.4140625" customWidth="1"/>
    <col min="5" max="5" width="3.1640625" bestFit="1" customWidth="1"/>
    <col min="6" max="6" width="2.1640625" bestFit="1" customWidth="1"/>
    <col min="7" max="7" width="9.1640625" bestFit="1" customWidth="1"/>
    <col min="8" max="8" width="6.6640625" bestFit="1" customWidth="1"/>
    <col min="9" max="9" width="9.1640625" bestFit="1" customWidth="1"/>
    <col min="10" max="10" width="11.1640625" customWidth="1"/>
    <col min="11" max="11" width="5.1640625" bestFit="1" customWidth="1"/>
    <col min="12" max="12" width="7.1640625" bestFit="1" customWidth="1"/>
    <col min="13" max="13" width="3.58203125" customWidth="1"/>
  </cols>
  <sheetData>
    <row r="1" spans="2:12">
      <c r="B1" t="s">
        <v>0</v>
      </c>
    </row>
    <row r="2" spans="2:12" ht="41.5" customHeight="1">
      <c r="C2" t="s">
        <v>92</v>
      </c>
    </row>
    <row r="3" spans="2:12">
      <c r="D3" t="s">
        <v>97</v>
      </c>
    </row>
    <row r="4" spans="2:12">
      <c r="D4" t="s">
        <v>98</v>
      </c>
    </row>
    <row r="5" spans="2:12">
      <c r="D5" t="s">
        <v>90</v>
      </c>
    </row>
    <row r="6" spans="2:12">
      <c r="D6" t="s">
        <v>91</v>
      </c>
    </row>
    <row r="8" spans="2:12" s="17" customFormat="1" ht="20">
      <c r="D8" s="17" t="s">
        <v>1</v>
      </c>
      <c r="E8" s="17" t="s">
        <v>2</v>
      </c>
      <c r="F8" s="18" t="s">
        <v>3</v>
      </c>
      <c r="G8" s="19" t="s">
        <v>4</v>
      </c>
      <c r="H8" s="19" t="s">
        <v>5</v>
      </c>
      <c r="I8" s="19" t="s">
        <v>6</v>
      </c>
      <c r="J8" s="20" t="s">
        <v>7</v>
      </c>
      <c r="K8" s="21" t="s">
        <v>8</v>
      </c>
      <c r="L8" s="22" t="s">
        <v>9</v>
      </c>
    </row>
    <row r="9" spans="2:12">
      <c r="D9">
        <v>0.31</v>
      </c>
      <c r="E9">
        <v>5</v>
      </c>
      <c r="F9" s="5">
        <v>0</v>
      </c>
      <c r="G9" s="9">
        <f>COMBIN($E$9,F9)</f>
        <v>1</v>
      </c>
      <c r="H9" s="14">
        <f t="shared" ref="H9:H14" si="0">$D$9^F9</f>
        <v>1</v>
      </c>
      <c r="I9" s="14">
        <f t="shared" ref="I9:I14" si="1">(1-$D$9)^($E$9-F9)</f>
        <v>0.15640313489999993</v>
      </c>
      <c r="J9" s="12">
        <f t="shared" ref="J9:J14" si="2">G9*H9*I9</f>
        <v>0.15640313489999993</v>
      </c>
      <c r="K9" s="4">
        <f>E9*D9</f>
        <v>1.55</v>
      </c>
      <c r="L9" s="4">
        <f>E9*D9*(1-D9)</f>
        <v>1.0694999999999999</v>
      </c>
    </row>
    <row r="10" spans="2:12">
      <c r="F10" s="5">
        <v>1</v>
      </c>
      <c r="G10" s="9">
        <f t="shared" ref="G10:G14" si="3">COMBIN($E$9,F10)</f>
        <v>5</v>
      </c>
      <c r="H10" s="14">
        <f t="shared" si="0"/>
        <v>0.31</v>
      </c>
      <c r="I10" s="14">
        <f t="shared" si="1"/>
        <v>0.22667120999999993</v>
      </c>
      <c r="J10" s="13">
        <f t="shared" si="2"/>
        <v>0.35134037549999991</v>
      </c>
    </row>
    <row r="11" spans="2:12">
      <c r="F11" s="5">
        <v>2</v>
      </c>
      <c r="G11" s="9">
        <f t="shared" si="3"/>
        <v>10</v>
      </c>
      <c r="H11" s="14">
        <f t="shared" si="0"/>
        <v>9.6100000000000005E-2</v>
      </c>
      <c r="I11" s="14">
        <f t="shared" si="1"/>
        <v>0.32850899999999994</v>
      </c>
      <c r="J11" s="13">
        <f t="shared" si="2"/>
        <v>0.31569714899999995</v>
      </c>
    </row>
    <row r="12" spans="2:12">
      <c r="F12" s="5">
        <v>3</v>
      </c>
      <c r="G12" s="9">
        <f t="shared" si="3"/>
        <v>10</v>
      </c>
      <c r="H12" s="14">
        <f t="shared" si="0"/>
        <v>2.9791000000000002E-2</v>
      </c>
      <c r="I12" s="14">
        <f t="shared" si="1"/>
        <v>0.47609999999999991</v>
      </c>
      <c r="J12" s="13">
        <f t="shared" si="2"/>
        <v>0.14183495099999999</v>
      </c>
    </row>
    <row r="13" spans="2:12">
      <c r="F13" s="5">
        <v>4</v>
      </c>
      <c r="G13" s="9">
        <f t="shared" si="3"/>
        <v>5</v>
      </c>
      <c r="H13" s="14">
        <f t="shared" si="0"/>
        <v>9.2352100000000006E-3</v>
      </c>
      <c r="I13" s="14">
        <f t="shared" si="1"/>
        <v>0.69</v>
      </c>
      <c r="J13" s="13">
        <f t="shared" si="2"/>
        <v>3.18614745E-2</v>
      </c>
    </row>
    <row r="14" spans="2:12">
      <c r="F14" s="5">
        <v>5</v>
      </c>
      <c r="G14" s="9">
        <f t="shared" si="3"/>
        <v>1</v>
      </c>
      <c r="H14" s="14">
        <f t="shared" si="0"/>
        <v>2.8629151000000002E-3</v>
      </c>
      <c r="I14" s="14">
        <f t="shared" si="1"/>
        <v>1</v>
      </c>
      <c r="J14" s="13">
        <f t="shared" si="2"/>
        <v>2.8629151000000002E-3</v>
      </c>
    </row>
    <row r="15" spans="2:12">
      <c r="I15" t="s">
        <v>10</v>
      </c>
      <c r="J15" s="1">
        <f>SUM(J9:J14)</f>
        <v>0.99999999999999989</v>
      </c>
    </row>
    <row r="16" spans="2:12">
      <c r="I16" s="2" t="s">
        <v>24</v>
      </c>
      <c r="J16" s="3">
        <f>SUM(J12:J14)</f>
        <v>0.17655934059999998</v>
      </c>
    </row>
    <row r="17" spans="10:10">
      <c r="J17" s="3">
        <f>1-(SUM(J9:J11))</f>
        <v>0.17655934060000011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50FDB-7B56-4198-9F54-F88F1A8645E9}">
  <dimension ref="B1:H16"/>
  <sheetViews>
    <sheetView showGridLines="0" workbookViewId="0">
      <selection activeCell="I24" sqref="I24"/>
    </sheetView>
  </sheetViews>
  <sheetFormatPr defaultRowHeight="18"/>
  <cols>
    <col min="1" max="1" width="3.58203125" customWidth="1"/>
    <col min="2" max="2" width="3.5" bestFit="1" customWidth="1"/>
    <col min="3" max="3" width="8.1640625" bestFit="1" customWidth="1"/>
    <col min="4" max="4" width="6.1640625" bestFit="1" customWidth="1"/>
    <col min="5" max="6" width="4.75" bestFit="1" customWidth="1"/>
    <col min="7" max="7" width="4.75" customWidth="1"/>
    <col min="8" max="8" width="6.6640625" bestFit="1" customWidth="1"/>
    <col min="10" max="10" width="3.58203125" customWidth="1"/>
  </cols>
  <sheetData>
    <row r="1" spans="2:8">
      <c r="B1" t="s">
        <v>11</v>
      </c>
    </row>
    <row r="2" spans="2:8">
      <c r="C2" t="s">
        <v>27</v>
      </c>
    </row>
    <row r="3" spans="2:8">
      <c r="D3" t="s">
        <v>25</v>
      </c>
    </row>
    <row r="4" spans="2:8">
      <c r="D4" t="s">
        <v>26</v>
      </c>
    </row>
    <row r="5" spans="2:8">
      <c r="D5" t="s">
        <v>25</v>
      </c>
    </row>
    <row r="6" spans="2:8">
      <c r="D6" t="s">
        <v>26</v>
      </c>
    </row>
    <row r="8" spans="2:8" s="17" customFormat="1">
      <c r="C8" s="17" t="s">
        <v>1</v>
      </c>
      <c r="D8" s="17" t="s">
        <v>2</v>
      </c>
      <c r="E8" s="21" t="s">
        <v>8</v>
      </c>
      <c r="F8" s="22" t="s">
        <v>9</v>
      </c>
      <c r="G8" s="23" t="s">
        <v>3</v>
      </c>
      <c r="H8" s="20" t="s">
        <v>7</v>
      </c>
    </row>
    <row r="9" spans="2:8">
      <c r="C9">
        <f>1/5000</f>
        <v>2.0000000000000001E-4</v>
      </c>
      <c r="D9">
        <v>30000</v>
      </c>
      <c r="E9" s="4">
        <f>C9*D9</f>
        <v>6</v>
      </c>
      <c r="F9" s="4">
        <f>C9*D9</f>
        <v>6</v>
      </c>
      <c r="G9" s="11">
        <v>0</v>
      </c>
      <c r="H9" s="24">
        <f t="shared" ref="H9:H14" si="0">_xlfn.POISSON.DIST(G9,$E$9,FALSE)</f>
        <v>2.4787521766663585E-3</v>
      </c>
    </row>
    <row r="10" spans="2:8">
      <c r="G10" s="5">
        <v>1</v>
      </c>
      <c r="H10" s="25">
        <f t="shared" si="0"/>
        <v>1.4872513059998151E-2</v>
      </c>
    </row>
    <row r="11" spans="2:8">
      <c r="G11" s="5">
        <v>2</v>
      </c>
      <c r="H11" s="25">
        <f t="shared" si="0"/>
        <v>4.4617539179994462E-2</v>
      </c>
    </row>
    <row r="12" spans="2:8">
      <c r="G12" s="5">
        <v>3</v>
      </c>
      <c r="H12" s="25">
        <f t="shared" si="0"/>
        <v>8.9235078359988909E-2</v>
      </c>
    </row>
    <row r="13" spans="2:8">
      <c r="G13" s="5">
        <v>4</v>
      </c>
      <c r="H13" s="25">
        <f t="shared" si="0"/>
        <v>0.13385261753998337</v>
      </c>
    </row>
    <row r="14" spans="2:8">
      <c r="G14" s="5">
        <v>5</v>
      </c>
      <c r="H14" s="25">
        <f t="shared" si="0"/>
        <v>0.16062314104798003</v>
      </c>
    </row>
    <row r="16" spans="2:8">
      <c r="H16" s="33">
        <f>SUM(H9:H15)</f>
        <v>0.44567964136461125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F02AB-A433-46E7-AD58-038E7EF3480E}">
  <dimension ref="B1:H21"/>
  <sheetViews>
    <sheetView showGridLines="0" topLeftCell="B1" workbookViewId="0">
      <selection activeCell="E21" sqref="E21"/>
    </sheetView>
  </sheetViews>
  <sheetFormatPr defaultRowHeight="18"/>
  <cols>
    <col min="1" max="1" width="3.58203125" customWidth="1"/>
    <col min="2" max="2" width="3.5" bestFit="1" customWidth="1"/>
    <col min="3" max="3" width="4.83203125" bestFit="1" customWidth="1"/>
    <col min="4" max="4" width="3.6640625" bestFit="1" customWidth="1"/>
    <col min="5" max="5" width="16.33203125" customWidth="1"/>
    <col min="6" max="6" width="7.6640625" bestFit="1" customWidth="1"/>
    <col min="7" max="7" width="11.1640625" bestFit="1" customWidth="1"/>
    <col min="8" max="8" width="7.6640625" bestFit="1" customWidth="1"/>
    <col min="9" max="9" width="7.33203125" bestFit="1" customWidth="1"/>
    <col min="10" max="10" width="5.1640625" bestFit="1" customWidth="1"/>
    <col min="11" max="11" width="8.33203125" bestFit="1" customWidth="1"/>
  </cols>
  <sheetData>
    <row r="1" spans="2:7">
      <c r="B1" t="s">
        <v>12</v>
      </c>
    </row>
    <row r="2" spans="2:7">
      <c r="C2" t="s">
        <v>28</v>
      </c>
    </row>
    <row r="3" spans="2:7" s="35" customFormat="1">
      <c r="D3" s="35" t="s">
        <v>29</v>
      </c>
    </row>
    <row r="4" spans="2:7" s="35" customFormat="1">
      <c r="E4" s="36" t="s">
        <v>37</v>
      </c>
      <c r="F4" s="37">
        <f>(3+5)/(3+5+2)</f>
        <v>0.8</v>
      </c>
    </row>
    <row r="5" spans="2:7" s="35" customFormat="1">
      <c r="E5" s="36" t="str">
        <f>"(3+5)/(3+5+2) = 8/10 = 0.8"</f>
        <v>(3+5)/(3+5+2) = 8/10 = 0.8</v>
      </c>
    </row>
    <row r="6" spans="2:7" s="35" customFormat="1">
      <c r="D6" s="35" t="s">
        <v>30</v>
      </c>
    </row>
    <row r="7" spans="2:7" s="35" customFormat="1">
      <c r="E7" s="36" t="s">
        <v>38</v>
      </c>
      <c r="F7" s="37">
        <f>4/6</f>
        <v>0.66666666666666663</v>
      </c>
    </row>
    <row r="8" spans="2:7" s="35" customFormat="1">
      <c r="E8" s="36" t="str">
        <f>"A:{2, 4, 6}, B:{3, 6}, A∪B:{2, 3, 4, 6}, Pr(A∪B) = 4/6 = 2/3"</f>
        <v>A:{2, 4, 6}, B:{3, 6}, A∪B:{2, 3, 4, 6}, Pr(A∪B) = 4/6 = 2/3</v>
      </c>
    </row>
    <row r="9" spans="2:7" s="35" customFormat="1">
      <c r="D9" s="35" t="s">
        <v>31</v>
      </c>
    </row>
    <row r="10" spans="2:7" s="35" customFormat="1">
      <c r="E10" s="36" t="s">
        <v>39</v>
      </c>
      <c r="F10" s="37">
        <f>(COMBIN(2,2))*((0.4)^2)*((1-0.4)^(2-2))</f>
        <v>0.16000000000000003</v>
      </c>
      <c r="G10" s="35">
        <f>0.4*0.4</f>
        <v>0.16000000000000003</v>
      </c>
    </row>
    <row r="11" spans="2:7" s="35" customFormat="1">
      <c r="E11" s="36" t="s">
        <v>34</v>
      </c>
    </row>
    <row r="12" spans="2:7" s="35" customFormat="1">
      <c r="E12" s="36" t="s">
        <v>35</v>
      </c>
    </row>
    <row r="13" spans="2:7">
      <c r="D13" t="s">
        <v>99</v>
      </c>
    </row>
    <row r="14" spans="2:7">
      <c r="E14" s="26" t="s">
        <v>40</v>
      </c>
      <c r="F14" s="27">
        <f>1-((39/52)*(38/51))</f>
        <v>0.44117647058823528</v>
      </c>
      <c r="G14">
        <f>15/34</f>
        <v>0.44117647058823528</v>
      </c>
    </row>
    <row r="15" spans="2:7">
      <c r="E15" s="2" t="s">
        <v>33</v>
      </c>
    </row>
    <row r="16" spans="2:7">
      <c r="E16" s="4" t="s">
        <v>32</v>
      </c>
    </row>
    <row r="17" spans="4:8">
      <c r="D17" t="s">
        <v>100</v>
      </c>
    </row>
    <row r="18" spans="4:8">
      <c r="E18" s="26" t="s">
        <v>41</v>
      </c>
      <c r="F18" s="27"/>
    </row>
    <row r="19" spans="4:8">
      <c r="E19" s="4" t="s">
        <v>36</v>
      </c>
    </row>
    <row r="20" spans="4:8">
      <c r="E20" s="68" t="str">
        <f>"Pr(B|A) = Pr(A∩B)/Pr(A) = (8/40)/(15/40) = 8/15"</f>
        <v>Pr(B|A) = Pr(A∩B)/Pr(A) = (8/40)/(15/40) = 8/15</v>
      </c>
      <c r="F20" s="68"/>
      <c r="G20" s="68"/>
      <c r="H20" s="68"/>
    </row>
    <row r="21" spans="4:8">
      <c r="H21" s="2" t="s">
        <v>141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53BE4-C924-44DD-840E-414CF9F5F5FD}">
  <dimension ref="B1:R8"/>
  <sheetViews>
    <sheetView showGridLines="0" tabSelected="1" workbookViewId="0">
      <selection activeCell="I8" sqref="I8"/>
    </sheetView>
  </sheetViews>
  <sheetFormatPr defaultRowHeight="18"/>
  <cols>
    <col min="1" max="1" width="3.58203125" customWidth="1"/>
    <col min="2" max="2" width="3.5" bestFit="1" customWidth="1"/>
    <col min="3" max="3" width="4.83203125" bestFit="1" customWidth="1"/>
    <col min="4" max="4" width="3.6640625" bestFit="1" customWidth="1"/>
    <col min="5" max="5" width="10.6640625" bestFit="1" customWidth="1"/>
    <col min="6" max="6" width="7.6640625" bestFit="1" customWidth="1"/>
    <col min="7" max="7" width="7.33203125" bestFit="1" customWidth="1"/>
    <col min="8" max="8" width="5.1640625" bestFit="1" customWidth="1"/>
    <col min="9" max="9" width="3.58203125" customWidth="1"/>
  </cols>
  <sheetData>
    <row r="1" spans="2:18">
      <c r="B1" t="s">
        <v>16</v>
      </c>
    </row>
    <row r="2" spans="2:18">
      <c r="C2" t="s">
        <v>93</v>
      </c>
    </row>
    <row r="3" spans="2:18">
      <c r="D3" t="s">
        <v>94</v>
      </c>
    </row>
    <row r="4" spans="2:18">
      <c r="D4" s="69" t="s">
        <v>139</v>
      </c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</row>
    <row r="6" spans="2:18" s="17" customFormat="1">
      <c r="C6" s="17" t="s">
        <v>13</v>
      </c>
      <c r="D6" s="17" t="s">
        <v>14</v>
      </c>
      <c r="E6" s="18">
        <v>75</v>
      </c>
      <c r="F6" s="19" t="s">
        <v>42</v>
      </c>
      <c r="G6" s="18" t="s">
        <v>95</v>
      </c>
      <c r="H6" s="20"/>
    </row>
    <row r="7" spans="2:18">
      <c r="C7">
        <v>60</v>
      </c>
      <c r="D7">
        <v>10</v>
      </c>
      <c r="E7" s="5" t="s">
        <v>15</v>
      </c>
      <c r="F7" s="9">
        <f>(E6-$C$7)/$D$7</f>
        <v>1.5</v>
      </c>
      <c r="G7" s="5" t="s">
        <v>142</v>
      </c>
      <c r="H7" s="6">
        <v>1.29</v>
      </c>
      <c r="I7" s="2" t="s">
        <v>143</v>
      </c>
    </row>
    <row r="8" spans="2:18">
      <c r="E8" s="7" t="str">
        <f>"Pr(z&gt;="&amp;F7&amp;")"</f>
        <v>Pr(z&gt;=1.5)</v>
      </c>
      <c r="F8" s="10">
        <f>1-_xlfn.NORM.DIST(F7,0,1,TRUE)</f>
        <v>6.6807201268858085E-2</v>
      </c>
      <c r="G8" s="7" t="s">
        <v>3</v>
      </c>
      <c r="H8" s="8">
        <f>(H7*$D$7)+$C$7</f>
        <v>72.900000000000006</v>
      </c>
      <c r="I8" s="2" t="s">
        <v>140</v>
      </c>
    </row>
  </sheetData>
  <phoneticPr fontId="2"/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2817D-091F-4150-BFB8-BF96817D9753}">
  <dimension ref="B1:J16"/>
  <sheetViews>
    <sheetView showGridLines="0" workbookViewId="0">
      <selection activeCell="I9" sqref="I9"/>
    </sheetView>
  </sheetViews>
  <sheetFormatPr defaultRowHeight="18"/>
  <cols>
    <col min="1" max="1" width="3.58203125" customWidth="1"/>
    <col min="2" max="2" width="3.5" bestFit="1" customWidth="1"/>
    <col min="3" max="3" width="4.83203125" customWidth="1"/>
    <col min="4" max="4" width="6.6640625" customWidth="1"/>
    <col min="5" max="5" width="9.4140625" customWidth="1"/>
    <col min="6" max="7" width="12.33203125" bestFit="1" customWidth="1"/>
    <col min="8" max="8" width="7.6640625" bestFit="1" customWidth="1"/>
  </cols>
  <sheetData>
    <row r="1" spans="2:10">
      <c r="B1" t="s">
        <v>16</v>
      </c>
    </row>
    <row r="3" spans="2:10">
      <c r="D3" t="s">
        <v>43</v>
      </c>
    </row>
    <row r="4" spans="2:10">
      <c r="D4" t="s">
        <v>44</v>
      </c>
    </row>
    <row r="5" spans="2:10">
      <c r="D5" t="s">
        <v>45</v>
      </c>
    </row>
    <row r="7" spans="2:10" s="17" customFormat="1" ht="20">
      <c r="D7" s="18" t="s">
        <v>17</v>
      </c>
      <c r="E7" s="19" t="s">
        <v>3</v>
      </c>
      <c r="F7" s="20" t="s">
        <v>19</v>
      </c>
      <c r="G7" s="18" t="s">
        <v>46</v>
      </c>
      <c r="H7" s="19">
        <v>0.05</v>
      </c>
      <c r="I7" s="20">
        <f>_xlfn.T.INV.2T(H7,4)</f>
        <v>2.7764451051977934</v>
      </c>
    </row>
    <row r="8" spans="2:10">
      <c r="D8" s="5">
        <v>1</v>
      </c>
      <c r="E8" s="9">
        <v>65</v>
      </c>
      <c r="F8" s="6">
        <f>(E8-$E$14)^2</f>
        <v>36</v>
      </c>
      <c r="G8" s="5" t="s">
        <v>47</v>
      </c>
      <c r="H8" s="9"/>
      <c r="I8" s="29">
        <v>2.7764000000000002</v>
      </c>
      <c r="J8" s="34" t="s">
        <v>96</v>
      </c>
    </row>
    <row r="9" spans="2:10">
      <c r="D9" s="5">
        <f t="shared" ref="D9:D12" si="0">D8+1</f>
        <v>2</v>
      </c>
      <c r="E9" s="9">
        <v>27</v>
      </c>
      <c r="F9" s="6">
        <f>(E9-$E$14)^2</f>
        <v>1024</v>
      </c>
      <c r="G9" s="7" t="s">
        <v>22</v>
      </c>
      <c r="H9" s="28">
        <f>$E$14-$I$7*SQRT($F$16/5)</f>
        <v>26.86032429268009</v>
      </c>
      <c r="I9" s="29">
        <f>$E$14-$I$8*SQRT($F$16/5)</f>
        <v>26.860846423093214</v>
      </c>
    </row>
    <row r="10" spans="2:10">
      <c r="D10" s="5">
        <f t="shared" si="0"/>
        <v>3</v>
      </c>
      <c r="E10" s="9">
        <v>73</v>
      </c>
      <c r="F10" s="6">
        <f>(E10-$E$14)^2</f>
        <v>196</v>
      </c>
      <c r="G10" s="16" t="s">
        <v>23</v>
      </c>
      <c r="H10" s="28">
        <f>$E$14+$I$7*SQRT($F$16/5)</f>
        <v>91.13967570731991</v>
      </c>
      <c r="I10" s="29">
        <f>$E$14+$I$8*SQRT($F$16/5)</f>
        <v>91.139153576906779</v>
      </c>
    </row>
    <row r="11" spans="2:10">
      <c r="D11" s="5">
        <f t="shared" si="0"/>
        <v>4</v>
      </c>
      <c r="E11" s="9">
        <v>91</v>
      </c>
      <c r="F11" s="6">
        <f>(E11-$E$14)^2</f>
        <v>1024</v>
      </c>
    </row>
    <row r="12" spans="2:10">
      <c r="D12" s="5">
        <f t="shared" si="0"/>
        <v>5</v>
      </c>
      <c r="E12" s="9">
        <v>39</v>
      </c>
      <c r="F12" s="6">
        <f>(E12-$E$14)^2</f>
        <v>400</v>
      </c>
    </row>
    <row r="13" spans="2:10">
      <c r="D13" s="5" t="s">
        <v>10</v>
      </c>
      <c r="E13" s="9">
        <f>SUM(E8:E12)</f>
        <v>295</v>
      </c>
      <c r="F13" s="6">
        <f>SUM(F8:F12)</f>
        <v>2680</v>
      </c>
    </row>
    <row r="14" spans="2:10">
      <c r="D14" s="7" t="s">
        <v>18</v>
      </c>
      <c r="E14" s="15">
        <f>AVERAGE(E8:E12)</f>
        <v>59</v>
      </c>
      <c r="F14" s="6"/>
    </row>
    <row r="15" spans="2:10">
      <c r="D15" s="7" t="s">
        <v>20</v>
      </c>
      <c r="E15" s="15"/>
      <c r="F15" s="8">
        <f>_xlfn.VAR.P(E8:E12)</f>
        <v>536</v>
      </c>
      <c r="G15">
        <f>F13/5</f>
        <v>536</v>
      </c>
    </row>
    <row r="16" spans="2:10">
      <c r="D16" s="16" t="s">
        <v>21</v>
      </c>
      <c r="E16" s="15"/>
      <c r="F16" s="8">
        <f>_xlfn.VAR.S(E8:E12)</f>
        <v>670</v>
      </c>
      <c r="G16">
        <f>F13/4</f>
        <v>670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B3E77-5FE3-4ED8-885B-3B8EF1E06492}">
  <dimension ref="B1:X24"/>
  <sheetViews>
    <sheetView workbookViewId="0">
      <selection activeCell="AI21" sqref="AI21"/>
    </sheetView>
  </sheetViews>
  <sheetFormatPr defaultRowHeight="18"/>
  <cols>
    <col min="1" max="1" width="3.58203125" customWidth="1"/>
    <col min="2" max="2" width="3.5" bestFit="1" customWidth="1"/>
    <col min="14" max="14" width="3.58203125" customWidth="1"/>
    <col min="26" max="27" width="3.58203125" customWidth="1"/>
  </cols>
  <sheetData>
    <row r="1" spans="2:24">
      <c r="B1" t="s">
        <v>123</v>
      </c>
    </row>
    <row r="2" spans="2:24">
      <c r="C2" t="s">
        <v>135</v>
      </c>
    </row>
    <row r="3" spans="2:24">
      <c r="D3" t="s">
        <v>124</v>
      </c>
      <c r="O3" t="s">
        <v>125</v>
      </c>
    </row>
    <row r="4" spans="2:24">
      <c r="E4" s="2" t="s">
        <v>136</v>
      </c>
      <c r="P4" t="s">
        <v>126</v>
      </c>
    </row>
    <row r="5" spans="2:24">
      <c r="D5" t="s">
        <v>127</v>
      </c>
      <c r="P5" t="s">
        <v>128</v>
      </c>
    </row>
    <row r="6" spans="2:24" s="17" customFormat="1">
      <c r="D6" s="66" t="s">
        <v>129</v>
      </c>
      <c r="O6"/>
      <c r="P6" s="2" t="s">
        <v>130</v>
      </c>
      <c r="Q6"/>
      <c r="R6"/>
      <c r="S6"/>
      <c r="T6"/>
      <c r="U6"/>
      <c r="V6"/>
      <c r="W6"/>
      <c r="X6"/>
    </row>
    <row r="7" spans="2:24">
      <c r="P7" t="s">
        <v>131</v>
      </c>
    </row>
    <row r="8" spans="2:24" ht="18.5" thickBot="1">
      <c r="O8" t="s">
        <v>132</v>
      </c>
    </row>
    <row r="9" spans="2:24">
      <c r="D9" s="32" t="s">
        <v>61</v>
      </c>
      <c r="E9" s="32"/>
      <c r="P9" s="2" t="s">
        <v>137</v>
      </c>
    </row>
    <row r="10" spans="2:24">
      <c r="D10" t="s">
        <v>62</v>
      </c>
      <c r="E10">
        <v>0.94051671961049343</v>
      </c>
      <c r="P10" t="s">
        <v>138</v>
      </c>
    </row>
    <row r="11" spans="2:24">
      <c r="D11" t="s">
        <v>63</v>
      </c>
      <c r="E11">
        <v>0.88457169986688355</v>
      </c>
      <c r="P11" t="s">
        <v>133</v>
      </c>
    </row>
    <row r="12" spans="2:24">
      <c r="D12" t="s">
        <v>64</v>
      </c>
      <c r="E12" s="26">
        <v>0.87302886985357198</v>
      </c>
      <c r="P12" t="s">
        <v>134</v>
      </c>
    </row>
    <row r="13" spans="2:24">
      <c r="D13" t="s">
        <v>65</v>
      </c>
      <c r="E13">
        <v>144.79745886423268</v>
      </c>
    </row>
    <row r="14" spans="2:24" ht="18.5" thickBot="1">
      <c r="D14" s="30" t="s">
        <v>66</v>
      </c>
      <c r="E14" s="30">
        <v>12</v>
      </c>
    </row>
    <row r="16" spans="2:24" ht="18.5" thickBot="1">
      <c r="D16" t="s">
        <v>67</v>
      </c>
    </row>
    <row r="17" spans="4:12">
      <c r="D17" s="31"/>
      <c r="E17" s="31" t="s">
        <v>72</v>
      </c>
      <c r="F17" s="31" t="s">
        <v>73</v>
      </c>
      <c r="G17" s="31" t="s">
        <v>74</v>
      </c>
      <c r="H17" s="31" t="s">
        <v>75</v>
      </c>
      <c r="I17" s="31" t="s">
        <v>76</v>
      </c>
    </row>
    <row r="18" spans="4:12">
      <c r="D18" t="s">
        <v>68</v>
      </c>
      <c r="E18">
        <v>1</v>
      </c>
      <c r="F18">
        <v>1606728.9590646084</v>
      </c>
      <c r="G18">
        <v>1606728.9590646084</v>
      </c>
      <c r="H18">
        <v>76.633866984678889</v>
      </c>
      <c r="I18">
        <v>5.3048778809190503E-6</v>
      </c>
    </row>
    <row r="19" spans="4:12">
      <c r="D19" t="s">
        <v>69</v>
      </c>
      <c r="E19">
        <v>10</v>
      </c>
      <c r="F19">
        <v>209663.04093539159</v>
      </c>
      <c r="G19">
        <v>20966.304093539158</v>
      </c>
    </row>
    <row r="20" spans="4:12" ht="18.5" thickBot="1">
      <c r="D20" s="30" t="s">
        <v>70</v>
      </c>
      <c r="E20" s="30">
        <v>11</v>
      </c>
      <c r="F20" s="30">
        <v>1816392</v>
      </c>
      <c r="G20" s="30"/>
      <c r="H20" s="30"/>
      <c r="I20" s="30"/>
    </row>
    <row r="21" spans="4:12" ht="18.5" thickBot="1"/>
    <row r="22" spans="4:12">
      <c r="D22" s="31"/>
      <c r="E22" s="31" t="s">
        <v>77</v>
      </c>
      <c r="F22" s="31" t="s">
        <v>65</v>
      </c>
      <c r="G22" s="31" t="s">
        <v>78</v>
      </c>
      <c r="H22" s="31" t="s">
        <v>79</v>
      </c>
      <c r="I22" s="31" t="s">
        <v>80</v>
      </c>
      <c r="J22" s="31" t="s">
        <v>81</v>
      </c>
      <c r="K22" s="31" t="s">
        <v>82</v>
      </c>
      <c r="L22" s="31" t="s">
        <v>83</v>
      </c>
    </row>
    <row r="23" spans="4:12">
      <c r="D23" t="s">
        <v>71</v>
      </c>
      <c r="E23" s="26">
        <v>140.087299706051</v>
      </c>
      <c r="F23">
        <v>101.73083167680433</v>
      </c>
      <c r="G23">
        <v>1.3770387737623599</v>
      </c>
      <c r="H23">
        <v>0.19854155146494801</v>
      </c>
      <c r="I23">
        <v>-86.583118797912363</v>
      </c>
      <c r="J23">
        <v>366.75771821001501</v>
      </c>
      <c r="K23">
        <v>-86.583118797912363</v>
      </c>
      <c r="L23">
        <v>366.75771821001501</v>
      </c>
    </row>
    <row r="24" spans="4:12" ht="18.5" thickBot="1">
      <c r="D24" s="30" t="s">
        <v>85</v>
      </c>
      <c r="E24" s="67">
        <v>45.892380610114898</v>
      </c>
      <c r="F24" s="30">
        <v>5.2424007411555102</v>
      </c>
      <c r="G24" s="30">
        <v>8.7540771635095194</v>
      </c>
      <c r="H24" s="30">
        <v>5.3048778809190198E-6</v>
      </c>
      <c r="I24" s="30">
        <v>34.211583841064623</v>
      </c>
      <c r="J24" s="30">
        <v>57.573177379165088</v>
      </c>
      <c r="K24" s="30">
        <v>34.211583841064623</v>
      </c>
      <c r="L24" s="30">
        <v>57.573177379165088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4151D-E135-4E2A-B0F4-3E67C8ED98C8}">
  <dimension ref="B2:AM28"/>
  <sheetViews>
    <sheetView topLeftCell="C1" zoomScale="50" zoomScaleNormal="50" workbookViewId="0">
      <selection activeCell="Z55" sqref="Z55"/>
    </sheetView>
  </sheetViews>
  <sheetFormatPr defaultRowHeight="18"/>
  <cols>
    <col min="8" max="8" width="3.58203125" customWidth="1"/>
    <col min="18" max="18" width="3.58203125" customWidth="1"/>
    <col min="28" max="28" width="3.58203125" customWidth="1"/>
    <col min="38" max="38" width="3.58203125" customWidth="1"/>
  </cols>
  <sheetData>
    <row r="2" spans="2:39">
      <c r="B2" t="s">
        <v>48</v>
      </c>
    </row>
    <row r="3" spans="2:39">
      <c r="C3" t="s">
        <v>57</v>
      </c>
      <c r="I3" t="s">
        <v>84</v>
      </c>
      <c r="S3" t="s">
        <v>86</v>
      </c>
      <c r="AC3" t="s">
        <v>88</v>
      </c>
      <c r="AM3" t="s">
        <v>89</v>
      </c>
    </row>
    <row r="4" spans="2:39">
      <c r="C4" t="s">
        <v>52</v>
      </c>
      <c r="D4" t="s">
        <v>53</v>
      </c>
      <c r="E4" t="s">
        <v>54</v>
      </c>
      <c r="F4" t="s">
        <v>55</v>
      </c>
    </row>
    <row r="5" spans="2:39">
      <c r="B5" t="s">
        <v>56</v>
      </c>
      <c r="C5" t="s">
        <v>49</v>
      </c>
      <c r="D5" t="s">
        <v>59</v>
      </c>
      <c r="E5" t="s">
        <v>50</v>
      </c>
      <c r="F5" t="s">
        <v>51</v>
      </c>
      <c r="I5" t="s">
        <v>60</v>
      </c>
      <c r="S5" t="s">
        <v>60</v>
      </c>
      <c r="AC5" t="s">
        <v>60</v>
      </c>
    </row>
    <row r="6" spans="2:39" ht="18.5" thickBot="1">
      <c r="B6">
        <v>1</v>
      </c>
      <c r="C6">
        <v>650</v>
      </c>
      <c r="D6">
        <v>6</v>
      </c>
      <c r="E6">
        <v>15</v>
      </c>
      <c r="F6">
        <v>24</v>
      </c>
    </row>
    <row r="7" spans="2:39">
      <c r="B7">
        <f>B6+1</f>
        <v>2</v>
      </c>
      <c r="C7">
        <v>1400</v>
      </c>
      <c r="D7">
        <v>2</v>
      </c>
      <c r="E7">
        <v>20</v>
      </c>
      <c r="F7">
        <v>10</v>
      </c>
      <c r="I7" s="32" t="s">
        <v>61</v>
      </c>
      <c r="J7" s="32"/>
      <c r="S7" s="32" t="s">
        <v>61</v>
      </c>
      <c r="T7" s="32"/>
      <c r="AC7" s="32" t="s">
        <v>61</v>
      </c>
      <c r="AD7" s="32"/>
    </row>
    <row r="8" spans="2:39">
      <c r="B8">
        <f t="shared" ref="B8:B28" si="0">B7+1</f>
        <v>3</v>
      </c>
      <c r="C8">
        <v>750</v>
      </c>
      <c r="D8">
        <v>4</v>
      </c>
      <c r="E8">
        <v>15</v>
      </c>
      <c r="F8">
        <v>26</v>
      </c>
      <c r="I8" t="s">
        <v>62</v>
      </c>
      <c r="J8">
        <v>4.6223513450917235E-2</v>
      </c>
      <c r="S8" t="s">
        <v>62</v>
      </c>
      <c r="T8">
        <v>0.94890214031030518</v>
      </c>
      <c r="AC8" t="s">
        <v>62</v>
      </c>
      <c r="AD8">
        <v>0.53011126017960331</v>
      </c>
    </row>
    <row r="9" spans="2:39">
      <c r="B9">
        <f t="shared" si="0"/>
        <v>4</v>
      </c>
      <c r="C9">
        <v>1200</v>
      </c>
      <c r="D9">
        <v>8</v>
      </c>
      <c r="E9">
        <v>25</v>
      </c>
      <c r="F9">
        <v>15</v>
      </c>
      <c r="I9" t="s">
        <v>63</v>
      </c>
      <c r="J9">
        <v>2.1366131957471263E-3</v>
      </c>
      <c r="S9" t="s">
        <v>63</v>
      </c>
      <c r="T9">
        <v>0.90041527188547799</v>
      </c>
      <c r="AC9" t="s">
        <v>63</v>
      </c>
      <c r="AD9">
        <v>0.28101794816920711</v>
      </c>
    </row>
    <row r="10" spans="2:39">
      <c r="B10">
        <f t="shared" si="0"/>
        <v>5</v>
      </c>
      <c r="C10">
        <v>750</v>
      </c>
      <c r="D10">
        <v>4</v>
      </c>
      <c r="E10">
        <v>20</v>
      </c>
      <c r="F10">
        <v>29</v>
      </c>
      <c r="I10" t="s">
        <v>64</v>
      </c>
      <c r="J10">
        <v>-4.5380690937788723E-2</v>
      </c>
      <c r="S10" t="s">
        <v>64</v>
      </c>
      <c r="T10">
        <v>0.89567314197526271</v>
      </c>
      <c r="AC10" t="s">
        <v>64</v>
      </c>
      <c r="AD10">
        <v>0.24678070760583604</v>
      </c>
    </row>
    <row r="11" spans="2:39">
      <c r="B11">
        <f t="shared" si="0"/>
        <v>6</v>
      </c>
      <c r="C11">
        <v>950</v>
      </c>
      <c r="D11">
        <v>2</v>
      </c>
      <c r="E11">
        <v>20</v>
      </c>
      <c r="F11">
        <v>26</v>
      </c>
      <c r="I11" t="s">
        <v>65</v>
      </c>
      <c r="J11">
        <v>1062.9136708468916</v>
      </c>
      <c r="S11" t="s">
        <v>65</v>
      </c>
      <c r="T11">
        <v>335.78308886287982</v>
      </c>
      <c r="AC11" t="s">
        <v>65</v>
      </c>
      <c r="AD11">
        <v>902.23874553762789</v>
      </c>
    </row>
    <row r="12" spans="2:39" ht="18.5" thickBot="1">
      <c r="B12">
        <f t="shared" si="0"/>
        <v>7</v>
      </c>
      <c r="C12">
        <v>1100</v>
      </c>
      <c r="D12">
        <v>9</v>
      </c>
      <c r="E12">
        <v>20</v>
      </c>
      <c r="F12">
        <v>10</v>
      </c>
      <c r="I12" s="30" t="s">
        <v>66</v>
      </c>
      <c r="J12" s="30">
        <v>23</v>
      </c>
      <c r="S12" s="30" t="s">
        <v>66</v>
      </c>
      <c r="T12" s="30">
        <v>23</v>
      </c>
      <c r="AC12" s="30" t="s">
        <v>66</v>
      </c>
      <c r="AD12" s="30">
        <v>23</v>
      </c>
    </row>
    <row r="13" spans="2:39">
      <c r="B13">
        <f t="shared" si="0"/>
        <v>8</v>
      </c>
      <c r="C13">
        <v>870</v>
      </c>
      <c r="D13">
        <v>1</v>
      </c>
      <c r="E13">
        <v>15</v>
      </c>
      <c r="F13">
        <v>28</v>
      </c>
    </row>
    <row r="14" spans="2:39" ht="18.5" thickBot="1">
      <c r="B14">
        <f t="shared" si="0"/>
        <v>9</v>
      </c>
      <c r="C14">
        <v>1900</v>
      </c>
      <c r="D14">
        <v>4</v>
      </c>
      <c r="E14">
        <v>20</v>
      </c>
      <c r="F14">
        <v>11</v>
      </c>
      <c r="I14" t="s">
        <v>67</v>
      </c>
      <c r="S14" t="s">
        <v>67</v>
      </c>
      <c r="AC14" t="s">
        <v>67</v>
      </c>
    </row>
    <row r="15" spans="2:39">
      <c r="B15">
        <f t="shared" si="0"/>
        <v>10</v>
      </c>
      <c r="C15">
        <v>1600</v>
      </c>
      <c r="D15">
        <v>9</v>
      </c>
      <c r="E15">
        <v>20</v>
      </c>
      <c r="F15">
        <v>13</v>
      </c>
      <c r="I15" s="31"/>
      <c r="J15" s="31" t="s">
        <v>72</v>
      </c>
      <c r="K15" s="31" t="s">
        <v>73</v>
      </c>
      <c r="L15" s="31" t="s">
        <v>74</v>
      </c>
      <c r="M15" s="31" t="s">
        <v>75</v>
      </c>
      <c r="N15" s="31" t="s">
        <v>76</v>
      </c>
      <c r="S15" s="31"/>
      <c r="T15" s="31" t="s">
        <v>72</v>
      </c>
      <c r="U15" s="31" t="s">
        <v>73</v>
      </c>
      <c r="V15" s="31" t="s">
        <v>74</v>
      </c>
      <c r="W15" s="31" t="s">
        <v>75</v>
      </c>
      <c r="X15" s="31" t="s">
        <v>76</v>
      </c>
      <c r="AC15" s="31"/>
      <c r="AD15" s="31" t="s">
        <v>72</v>
      </c>
      <c r="AE15" s="31" t="s">
        <v>73</v>
      </c>
      <c r="AF15" s="31" t="s">
        <v>74</v>
      </c>
      <c r="AG15" s="31" t="s">
        <v>75</v>
      </c>
      <c r="AH15" s="31" t="s">
        <v>76</v>
      </c>
    </row>
    <row r="16" spans="2:39">
      <c r="B16">
        <f t="shared" si="0"/>
        <v>11</v>
      </c>
      <c r="C16">
        <v>700</v>
      </c>
      <c r="D16">
        <v>10</v>
      </c>
      <c r="E16">
        <v>15</v>
      </c>
      <c r="F16">
        <v>28</v>
      </c>
      <c r="I16" t="s">
        <v>68</v>
      </c>
      <c r="J16">
        <v>1</v>
      </c>
      <c r="K16">
        <v>50800.747036419809</v>
      </c>
      <c r="L16">
        <v>50800.747036419809</v>
      </c>
      <c r="M16">
        <v>4.496494981581222E-2</v>
      </c>
      <c r="N16">
        <v>0.83411309731147154</v>
      </c>
      <c r="S16" t="s">
        <v>68</v>
      </c>
      <c r="T16">
        <v>1</v>
      </c>
      <c r="U16">
        <v>21408539.714081682</v>
      </c>
      <c r="V16">
        <v>21408539.714081682</v>
      </c>
      <c r="W16">
        <v>189.8757075266611</v>
      </c>
      <c r="X16">
        <v>5.462588007633945E-12</v>
      </c>
      <c r="AC16" t="s">
        <v>68</v>
      </c>
      <c r="AD16">
        <v>1</v>
      </c>
      <c r="AE16">
        <v>6681565.8192383535</v>
      </c>
      <c r="AF16">
        <v>6681565.8192383535</v>
      </c>
      <c r="AG16">
        <v>8.2079613761237464</v>
      </c>
      <c r="AH16">
        <v>9.2709669774220724E-3</v>
      </c>
    </row>
    <row r="17" spans="2:37">
      <c r="B17">
        <f t="shared" si="0"/>
        <v>12</v>
      </c>
      <c r="C17">
        <v>1700</v>
      </c>
      <c r="D17">
        <v>6</v>
      </c>
      <c r="E17">
        <v>20</v>
      </c>
      <c r="F17">
        <v>12</v>
      </c>
      <c r="I17" t="s">
        <v>69</v>
      </c>
      <c r="J17">
        <v>21</v>
      </c>
      <c r="K17">
        <v>23725494.905137494</v>
      </c>
      <c r="L17">
        <v>1129785.4716732141</v>
      </c>
      <c r="S17" t="s">
        <v>69</v>
      </c>
      <c r="T17">
        <v>21</v>
      </c>
      <c r="U17">
        <v>2367755.9380922299</v>
      </c>
      <c r="V17">
        <v>112750.28276629666</v>
      </c>
      <c r="AC17" t="s">
        <v>69</v>
      </c>
      <c r="AD17">
        <v>21</v>
      </c>
      <c r="AE17">
        <v>17094729.83293556</v>
      </c>
      <c r="AF17">
        <v>814034.75394931238</v>
      </c>
    </row>
    <row r="18" spans="2:37" ht="18.5" thickBot="1">
      <c r="B18">
        <f t="shared" si="0"/>
        <v>13</v>
      </c>
      <c r="C18">
        <v>1200</v>
      </c>
      <c r="D18">
        <v>6</v>
      </c>
      <c r="E18">
        <v>25</v>
      </c>
      <c r="F18">
        <v>12</v>
      </c>
      <c r="I18" s="30" t="s">
        <v>70</v>
      </c>
      <c r="J18" s="30">
        <v>22</v>
      </c>
      <c r="K18" s="30">
        <v>23776295.652173914</v>
      </c>
      <c r="L18" s="30"/>
      <c r="M18" s="30"/>
      <c r="N18" s="30"/>
      <c r="S18" s="30" t="s">
        <v>70</v>
      </c>
      <c r="T18" s="30">
        <v>22</v>
      </c>
      <c r="U18" s="30">
        <v>23776295.652173914</v>
      </c>
      <c r="V18" s="30"/>
      <c r="W18" s="30"/>
      <c r="X18" s="30"/>
      <c r="AC18" s="30" t="s">
        <v>70</v>
      </c>
      <c r="AD18" s="30">
        <v>22</v>
      </c>
      <c r="AE18" s="30">
        <v>23776295.652173914</v>
      </c>
      <c r="AF18" s="30"/>
      <c r="AG18" s="30"/>
      <c r="AH18" s="30"/>
    </row>
    <row r="19" spans="2:37" ht="18.5" thickBot="1">
      <c r="B19">
        <f t="shared" si="0"/>
        <v>14</v>
      </c>
      <c r="C19">
        <v>1700</v>
      </c>
      <c r="D19">
        <v>6</v>
      </c>
      <c r="E19">
        <v>25</v>
      </c>
      <c r="F19">
        <v>12</v>
      </c>
    </row>
    <row r="20" spans="2:37">
      <c r="B20">
        <f t="shared" si="0"/>
        <v>15</v>
      </c>
      <c r="C20">
        <v>1000</v>
      </c>
      <c r="D20">
        <v>13</v>
      </c>
      <c r="E20">
        <v>20</v>
      </c>
      <c r="F20">
        <v>7</v>
      </c>
      <c r="I20" s="31"/>
      <c r="J20" s="31" t="s">
        <v>77</v>
      </c>
      <c r="K20" s="31" t="s">
        <v>65</v>
      </c>
      <c r="L20" s="31" t="s">
        <v>78</v>
      </c>
      <c r="M20" s="31" t="s">
        <v>79</v>
      </c>
      <c r="N20" s="31" t="s">
        <v>80</v>
      </c>
      <c r="O20" s="31" t="s">
        <v>81</v>
      </c>
      <c r="P20" s="31" t="s">
        <v>82</v>
      </c>
      <c r="Q20" s="31" t="s">
        <v>83</v>
      </c>
      <c r="S20" s="31"/>
      <c r="T20" s="31" t="s">
        <v>77</v>
      </c>
      <c r="U20" s="31" t="s">
        <v>65</v>
      </c>
      <c r="V20" s="31" t="s">
        <v>78</v>
      </c>
      <c r="W20" s="31" t="s">
        <v>79</v>
      </c>
      <c r="X20" s="31" t="s">
        <v>80</v>
      </c>
      <c r="Y20" s="31" t="s">
        <v>81</v>
      </c>
      <c r="Z20" s="31" t="s">
        <v>82</v>
      </c>
      <c r="AA20" s="31" t="s">
        <v>83</v>
      </c>
      <c r="AC20" s="31"/>
      <c r="AD20" s="31" t="s">
        <v>77</v>
      </c>
      <c r="AE20" s="31" t="s">
        <v>65</v>
      </c>
      <c r="AF20" s="31" t="s">
        <v>78</v>
      </c>
      <c r="AG20" s="31" t="s">
        <v>79</v>
      </c>
      <c r="AH20" s="31" t="s">
        <v>80</v>
      </c>
      <c r="AI20" s="31" t="s">
        <v>81</v>
      </c>
      <c r="AJ20" s="31" t="s">
        <v>82</v>
      </c>
      <c r="AK20" s="31" t="s">
        <v>83</v>
      </c>
    </row>
    <row r="21" spans="2:37">
      <c r="B21">
        <f t="shared" si="0"/>
        <v>16</v>
      </c>
      <c r="C21">
        <v>3400</v>
      </c>
      <c r="D21">
        <v>15</v>
      </c>
      <c r="E21">
        <v>50</v>
      </c>
      <c r="F21">
        <v>6</v>
      </c>
      <c r="I21" t="s">
        <v>71</v>
      </c>
      <c r="J21">
        <v>1475.2568748667663</v>
      </c>
      <c r="K21">
        <v>420.16247599287016</v>
      </c>
      <c r="L21">
        <v>3.5111580856444693</v>
      </c>
      <c r="M21">
        <v>2.0769521275741639E-3</v>
      </c>
      <c r="N21">
        <v>601.4811727569321</v>
      </c>
      <c r="O21">
        <v>2349.0325769766005</v>
      </c>
      <c r="P21">
        <v>601.4811727569321</v>
      </c>
      <c r="Q21">
        <v>2349.0325769766005</v>
      </c>
      <c r="S21" t="s">
        <v>71</v>
      </c>
      <c r="T21">
        <v>-400.81174984207223</v>
      </c>
      <c r="U21">
        <v>148.23335786848673</v>
      </c>
      <c r="V21">
        <v>-2.7039241072692568</v>
      </c>
      <c r="W21">
        <v>1.3293691565175398E-2</v>
      </c>
      <c r="X21">
        <v>-709.07989311585004</v>
      </c>
      <c r="Y21">
        <v>-92.543606568294422</v>
      </c>
      <c r="Z21">
        <v>-709.07989311585004</v>
      </c>
      <c r="AA21">
        <v>-92.543606568294422</v>
      </c>
      <c r="AC21" t="s">
        <v>71</v>
      </c>
      <c r="AD21">
        <v>2643.9260143198085</v>
      </c>
      <c r="AE21">
        <v>473.33185436118134</v>
      </c>
      <c r="AF21">
        <v>5.585776638439234</v>
      </c>
      <c r="AG21">
        <v>1.524562529928487E-5</v>
      </c>
      <c r="AH21">
        <v>1659.5785368396698</v>
      </c>
      <c r="AI21">
        <v>3628.2734917999469</v>
      </c>
      <c r="AJ21">
        <v>1659.5785368396698</v>
      </c>
      <c r="AK21">
        <v>3628.2734917999469</v>
      </c>
    </row>
    <row r="22" spans="2:37" ht="18.5" thickBot="1">
      <c r="B22">
        <f t="shared" si="0"/>
        <v>17</v>
      </c>
      <c r="C22">
        <v>550</v>
      </c>
      <c r="D22">
        <v>16</v>
      </c>
      <c r="E22">
        <v>20</v>
      </c>
      <c r="F22">
        <v>21</v>
      </c>
      <c r="I22" s="30" t="s">
        <v>58</v>
      </c>
      <c r="J22" s="30">
        <v>-11.159667448305294</v>
      </c>
      <c r="K22" s="30">
        <v>52.627676513041735</v>
      </c>
      <c r="L22" s="30">
        <v>-0.21204940418640375</v>
      </c>
      <c r="M22" s="30">
        <v>0.83411309731147776</v>
      </c>
      <c r="N22" s="30">
        <v>-120.60491214067665</v>
      </c>
      <c r="O22" s="30">
        <v>98.285577244066047</v>
      </c>
      <c r="P22" s="30">
        <v>-120.60491214067665</v>
      </c>
      <c r="Q22" s="30">
        <v>98.285577244066047</v>
      </c>
      <c r="S22" s="30" t="s">
        <v>85</v>
      </c>
      <c r="T22" s="30">
        <v>78.873657612128881</v>
      </c>
      <c r="U22" s="30">
        <v>5.7239690690140872</v>
      </c>
      <c r="V22" s="30">
        <v>13.779539452632701</v>
      </c>
      <c r="W22" s="30">
        <v>5.462588007633945E-12</v>
      </c>
      <c r="X22" s="30">
        <v>66.970012289414171</v>
      </c>
      <c r="Y22" s="30">
        <v>90.77730293484359</v>
      </c>
      <c r="Z22" s="30">
        <v>66.970012289414171</v>
      </c>
      <c r="AA22" s="30">
        <v>90.77730293484359</v>
      </c>
      <c r="AC22" s="30" t="s">
        <v>87</v>
      </c>
      <c r="AD22" s="30">
        <v>-71.372315035799488</v>
      </c>
      <c r="AE22" s="30">
        <v>24.91220286111481</v>
      </c>
      <c r="AF22" s="30">
        <v>-2.864953991973298</v>
      </c>
      <c r="AG22" s="30">
        <v>9.2709669774221244E-3</v>
      </c>
      <c r="AH22" s="30">
        <v>-123.18007700843836</v>
      </c>
      <c r="AI22" s="30">
        <v>-19.564553063160609</v>
      </c>
      <c r="AJ22" s="30">
        <v>-123.18007700843836</v>
      </c>
      <c r="AK22" s="30">
        <v>-19.564553063160609</v>
      </c>
    </row>
    <row r="23" spans="2:37">
      <c r="B23">
        <f t="shared" si="0"/>
        <v>18</v>
      </c>
      <c r="C23">
        <v>1100</v>
      </c>
      <c r="D23">
        <v>11</v>
      </c>
      <c r="E23">
        <v>20</v>
      </c>
      <c r="F23">
        <v>15</v>
      </c>
    </row>
    <row r="24" spans="2:37">
      <c r="B24">
        <f t="shared" si="0"/>
        <v>19</v>
      </c>
      <c r="C24">
        <v>850</v>
      </c>
      <c r="D24">
        <v>3</v>
      </c>
      <c r="E24">
        <v>15</v>
      </c>
      <c r="F24">
        <v>25</v>
      </c>
    </row>
    <row r="25" spans="2:37">
      <c r="B25">
        <f t="shared" si="0"/>
        <v>20</v>
      </c>
      <c r="C25">
        <v>920</v>
      </c>
      <c r="D25">
        <v>3</v>
      </c>
      <c r="E25">
        <v>20</v>
      </c>
      <c r="F25">
        <v>25</v>
      </c>
    </row>
    <row r="26" spans="2:37">
      <c r="B26">
        <f t="shared" si="0"/>
        <v>21</v>
      </c>
      <c r="C26">
        <v>1400</v>
      </c>
      <c r="D26">
        <v>11</v>
      </c>
      <c r="E26">
        <v>20</v>
      </c>
      <c r="F26">
        <v>11</v>
      </c>
    </row>
    <row r="27" spans="2:37">
      <c r="B27">
        <f t="shared" si="0"/>
        <v>22</v>
      </c>
      <c r="C27">
        <v>1200</v>
      </c>
      <c r="D27">
        <v>5</v>
      </c>
      <c r="E27">
        <v>15</v>
      </c>
      <c r="F27">
        <v>24</v>
      </c>
    </row>
    <row r="28" spans="2:37">
      <c r="B28">
        <f t="shared" si="0"/>
        <v>23</v>
      </c>
      <c r="C28">
        <v>5300</v>
      </c>
      <c r="D28">
        <v>2</v>
      </c>
      <c r="E28">
        <v>70</v>
      </c>
      <c r="F28">
        <v>11</v>
      </c>
    </row>
  </sheetData>
  <phoneticPr fontId="2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23E91-F77F-4434-A811-FD440735B880}">
  <dimension ref="B1:I16"/>
  <sheetViews>
    <sheetView workbookViewId="0">
      <selection sqref="A1:XFD1048576"/>
    </sheetView>
  </sheetViews>
  <sheetFormatPr defaultRowHeight="18"/>
  <cols>
    <col min="6" max="6" width="12.33203125" style="38" bestFit="1" customWidth="1"/>
    <col min="8" max="8" width="12.33203125" bestFit="1" customWidth="1"/>
  </cols>
  <sheetData>
    <row r="1" spans="2:9">
      <c r="B1" t="s">
        <v>122</v>
      </c>
    </row>
    <row r="2" spans="2:9">
      <c r="B2" t="s">
        <v>120</v>
      </c>
    </row>
    <row r="3" spans="2:9" ht="18.5" thickBot="1"/>
    <row r="4" spans="2:9" ht="18.5" thickTop="1">
      <c r="B4" s="39" t="s">
        <v>101</v>
      </c>
      <c r="C4" s="40" t="s">
        <v>102</v>
      </c>
      <c r="E4" t="s">
        <v>103</v>
      </c>
      <c r="F4" s="41" t="s">
        <v>104</v>
      </c>
      <c r="G4" s="42" t="s">
        <v>105</v>
      </c>
    </row>
    <row r="5" spans="2:9" ht="20.5" thickBot="1">
      <c r="B5" s="43" t="s">
        <v>106</v>
      </c>
      <c r="C5" s="44" t="s">
        <v>107</v>
      </c>
      <c r="F5" s="45" t="s">
        <v>108</v>
      </c>
      <c r="G5" s="46" t="s">
        <v>109</v>
      </c>
    </row>
    <row r="6" spans="2:9" ht="19" thickTop="1" thickBot="1">
      <c r="B6" s="47">
        <v>1</v>
      </c>
      <c r="C6" s="48">
        <v>140</v>
      </c>
    </row>
    <row r="7" spans="2:9" ht="21" thickTop="1" thickBot="1">
      <c r="B7" s="49">
        <v>2</v>
      </c>
      <c r="C7" s="50">
        <v>145</v>
      </c>
      <c r="E7" t="s">
        <v>110</v>
      </c>
      <c r="F7" s="51" t="s">
        <v>111</v>
      </c>
      <c r="G7" s="65">
        <f>ABS(_xlfn.T.INV(0.025,9))</f>
        <v>2.2621571627982053</v>
      </c>
    </row>
    <row r="8" spans="2:9" ht="19" thickTop="1" thickBot="1">
      <c r="B8" s="49">
        <v>3</v>
      </c>
      <c r="C8" s="50">
        <v>146</v>
      </c>
    </row>
    <row r="9" spans="2:9" ht="18.5" thickTop="1">
      <c r="B9" s="49">
        <v>4</v>
      </c>
      <c r="C9" s="50">
        <v>134</v>
      </c>
      <c r="E9" t="s">
        <v>112</v>
      </c>
      <c r="F9" s="41" t="s">
        <v>113</v>
      </c>
      <c r="G9" s="42">
        <f>AVERAGE(C6:C15)</f>
        <v>142.4</v>
      </c>
    </row>
    <row r="10" spans="2:9">
      <c r="B10" s="49">
        <v>5</v>
      </c>
      <c r="C10" s="50">
        <v>144</v>
      </c>
      <c r="F10" s="52" t="s">
        <v>114</v>
      </c>
      <c r="G10" s="53">
        <v>150</v>
      </c>
    </row>
    <row r="11" spans="2:9">
      <c r="B11" s="49">
        <v>6</v>
      </c>
      <c r="C11" s="50">
        <v>156</v>
      </c>
      <c r="F11" s="52" t="s">
        <v>115</v>
      </c>
      <c r="G11" s="63">
        <f>_xlfn.VAR.S(C6:C15)</f>
        <v>34.711111111111123</v>
      </c>
      <c r="H11" t="s">
        <v>121</v>
      </c>
      <c r="I11" s="33">
        <f>SQRT(G11)</f>
        <v>5.891613625409521</v>
      </c>
    </row>
    <row r="12" spans="2:9" ht="18.5" thickBot="1">
      <c r="B12" s="49">
        <v>7</v>
      </c>
      <c r="C12" s="50">
        <v>140</v>
      </c>
      <c r="F12" s="54" t="s">
        <v>116</v>
      </c>
      <c r="G12" s="55">
        <v>10</v>
      </c>
    </row>
    <row r="13" spans="2:9" ht="18.5" thickTop="1">
      <c r="B13" s="49">
        <v>8</v>
      </c>
      <c r="C13" s="50">
        <v>140</v>
      </c>
      <c r="F13" s="56" t="s">
        <v>117</v>
      </c>
      <c r="G13" s="57">
        <f>G9-G10</f>
        <v>-7.5999999999999943</v>
      </c>
    </row>
    <row r="14" spans="2:9" ht="18.5" thickBot="1">
      <c r="B14" s="49">
        <v>9</v>
      </c>
      <c r="C14" s="50">
        <v>139</v>
      </c>
      <c r="F14" s="58" t="s">
        <v>118</v>
      </c>
      <c r="G14" s="59">
        <f>SQRT(G11/G12)</f>
        <v>1.8630918149976163</v>
      </c>
    </row>
    <row r="15" spans="2:9" ht="19" thickTop="1" thickBot="1">
      <c r="B15" s="60">
        <v>10</v>
      </c>
      <c r="C15" s="61">
        <v>140</v>
      </c>
      <c r="F15" s="62" t="s">
        <v>119</v>
      </c>
      <c r="G15" s="64">
        <f>G13/G14</f>
        <v>-4.0792407216977216</v>
      </c>
    </row>
    <row r="16" spans="2:9" ht="18.5" thickTop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Q4(1)-(2)</vt:lpstr>
      <vt:lpstr>Q4(3)-(5)</vt:lpstr>
      <vt:lpstr>Q5</vt:lpstr>
      <vt:lpstr>Q5_est</vt:lpstr>
      <vt:lpstr>Q6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Ikegawa</dc:creator>
  <cp:lastModifiedBy>須永大介</cp:lastModifiedBy>
  <dcterms:created xsi:type="dcterms:W3CDTF">2023-01-08T02:51:14Z</dcterms:created>
  <dcterms:modified xsi:type="dcterms:W3CDTF">2026-01-06T11:22:10Z</dcterms:modified>
</cp:coreProperties>
</file>