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h/Library/CloudStorage/GoogleDrive-ykawano@reitaku-u.ac.jp/My Drive/git/classes/25-2-Stats-B/Ikegawa material/09_母平均の区間推定・母分散の区間推定/"/>
    </mc:Choice>
  </mc:AlternateContent>
  <xr:revisionPtr revIDLastSave="0" documentId="13_ncr:1_{AA93F018-796A-6B43-8810-86A2393EE975}" xr6:coauthVersionLast="47" xr6:coauthVersionMax="47" xr10:uidLastSave="{00000000-0000-0000-0000-000000000000}"/>
  <bookViews>
    <workbookView xWindow="-7600" yWindow="-23740" windowWidth="25340" windowHeight="21020" xr2:uid="{1619192C-3EDD-4E6D-BBFE-580124EDFFF7}"/>
  </bookViews>
  <sheets>
    <sheet name="解答_母平均の区間推定" sheetId="10" r:id="rId1"/>
    <sheet name="母平均の区間推定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0" l="1"/>
  <c r="F13" i="10"/>
  <c r="F11" i="10"/>
  <c r="F10" i="10" s="1"/>
  <c r="F12" i="10"/>
  <c r="F14" i="10"/>
  <c r="F15" i="10" s="1"/>
  <c r="F16" i="10" l="1"/>
</calcChain>
</file>

<file path=xl/sharedStrings.xml><?xml version="1.0" encoding="utf-8"?>
<sst xmlns="http://schemas.openxmlformats.org/spreadsheetml/2006/main" count="58" uniqueCount="30">
  <si>
    <t>Aクラス30名の得点から，学年全体の平均得点の95%信頼区間を推定したい</t>
    <phoneticPr fontId="1"/>
  </si>
  <si>
    <t>Aクラスの平均点は72点，分散は58</t>
    <phoneticPr fontId="1"/>
  </si>
  <si>
    <t>手順①</t>
    <rPh sb="0" eb="2">
      <t>テジュン</t>
    </rPh>
    <phoneticPr fontId="1"/>
  </si>
  <si>
    <t>母集団（未知）</t>
    <rPh sb="0" eb="3">
      <t>ボシュウダン</t>
    </rPh>
    <rPh sb="4" eb="6">
      <t>ミチ</t>
    </rPh>
    <phoneticPr fontId="1"/>
  </si>
  <si>
    <t>標本（既知）</t>
    <rPh sb="0" eb="2">
      <t>ヒョウホン</t>
    </rPh>
    <rPh sb="3" eb="5">
      <t>キチ</t>
    </rPh>
    <phoneticPr fontId="1"/>
  </si>
  <si>
    <t>標本数</t>
    <rPh sb="0" eb="3">
      <t>ヒョウホンスウ</t>
    </rPh>
    <phoneticPr fontId="1"/>
  </si>
  <si>
    <t>標本平均</t>
    <rPh sb="0" eb="4">
      <t>ヒョウホンヘイキン</t>
    </rPh>
    <phoneticPr fontId="1"/>
  </si>
  <si>
    <t>標本分散</t>
    <rPh sb="0" eb="4">
      <t>ヒョウホンブンサン</t>
    </rPh>
    <phoneticPr fontId="1"/>
  </si>
  <si>
    <t>n</t>
    <phoneticPr fontId="1"/>
  </si>
  <si>
    <r>
      <t>S</t>
    </r>
    <r>
      <rPr>
        <vertAlign val="superscript"/>
        <sz val="11"/>
        <color theme="1"/>
        <rFont val="Times New Roman"/>
        <family val="1"/>
      </rPr>
      <t>2</t>
    </r>
    <phoneticPr fontId="1"/>
  </si>
  <si>
    <t>学年全体</t>
    <rPh sb="0" eb="4">
      <t>ガクネンゼンタイ</t>
    </rPh>
    <phoneticPr fontId="1"/>
  </si>
  <si>
    <t>Aクラス</t>
    <phoneticPr fontId="1"/>
  </si>
  <si>
    <t>手順②</t>
    <rPh sb="0" eb="2">
      <t>テジュン</t>
    </rPh>
    <phoneticPr fontId="1"/>
  </si>
  <si>
    <t>標本不偏分散</t>
    <rPh sb="0" eb="6">
      <t>ヒョウホンフヘンブンサン</t>
    </rPh>
    <phoneticPr fontId="1"/>
  </si>
  <si>
    <t>偏差二乗和</t>
    <rPh sb="0" eb="5">
      <t>ヘンサジジョウワ</t>
    </rPh>
    <phoneticPr fontId="1"/>
  </si>
  <si>
    <r>
      <rPr>
        <sz val="11"/>
        <color theme="1"/>
        <rFont val="BIZ UDPゴシック"/>
        <family val="3"/>
        <charset val="128"/>
      </rPr>
      <t>∑</t>
    </r>
    <r>
      <rPr>
        <sz val="11"/>
        <color theme="1"/>
        <rFont val="Times New Roman"/>
        <family val="1"/>
      </rPr>
      <t>(X</t>
    </r>
    <r>
      <rPr>
        <vertAlign val="subscript"/>
        <sz val="11"/>
        <color theme="1"/>
        <rFont val="Times New Roman"/>
        <family val="1"/>
      </rPr>
      <t>i</t>
    </r>
    <r>
      <rPr>
        <sz val="11"/>
        <color theme="1"/>
        <rFont val="Times New Roman"/>
        <family val="1"/>
      </rPr>
      <t>-X</t>
    </r>
    <r>
      <rPr>
        <vertAlign val="subscript"/>
        <sz val="11"/>
        <color theme="1"/>
        <rFont val="Times New Roman"/>
        <family val="1"/>
      </rPr>
      <t>_bar</t>
    </r>
    <r>
      <rPr>
        <sz val="11"/>
        <color theme="1"/>
        <rFont val="Times New Roman"/>
        <family val="1"/>
      </rPr>
      <t>)</t>
    </r>
    <phoneticPr fontId="1"/>
  </si>
  <si>
    <r>
      <t>X</t>
    </r>
    <r>
      <rPr>
        <vertAlign val="subscript"/>
        <sz val="11"/>
        <color theme="1"/>
        <rFont val="Times New Roman"/>
        <family val="1"/>
      </rPr>
      <t>_bar</t>
    </r>
    <phoneticPr fontId="1"/>
  </si>
  <si>
    <t>手順③</t>
    <rPh sb="0" eb="2">
      <t>テジュン</t>
    </rPh>
    <phoneticPr fontId="1"/>
  </si>
  <si>
    <t>自由度</t>
    <rPh sb="0" eb="3">
      <t>ジユウド</t>
    </rPh>
    <phoneticPr fontId="1"/>
  </si>
  <si>
    <t>上側確率</t>
    <rPh sb="0" eb="2">
      <t>ウエガワ</t>
    </rPh>
    <rPh sb="2" eb="4">
      <t>カクリツ</t>
    </rPh>
    <phoneticPr fontId="1"/>
  </si>
  <si>
    <t>a</t>
    <phoneticPr fontId="1"/>
  </si>
  <si>
    <t>tパーセント点</t>
    <rPh sb="6" eb="7">
      <t>テン</t>
    </rPh>
    <phoneticPr fontId="1"/>
  </si>
  <si>
    <r>
      <t>t</t>
    </r>
    <r>
      <rPr>
        <vertAlign val="subscript"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3"/>
        <charset val="128"/>
      </rPr>
      <t>(ν)</t>
    </r>
    <phoneticPr fontId="1"/>
  </si>
  <si>
    <t>手順④</t>
    <rPh sb="0" eb="2">
      <t>テジュン</t>
    </rPh>
    <phoneticPr fontId="1"/>
  </si>
  <si>
    <t>±の後の項</t>
    <rPh sb="2" eb="3">
      <t>アト</t>
    </rPh>
    <rPh sb="4" eb="5">
      <t>コウ</t>
    </rPh>
    <phoneticPr fontId="1"/>
  </si>
  <si>
    <t>手順⑤</t>
    <rPh sb="0" eb="2">
      <t>テジュン</t>
    </rPh>
    <phoneticPr fontId="1"/>
  </si>
  <si>
    <t>下限値</t>
    <rPh sb="0" eb="3">
      <t>カゲンチ</t>
    </rPh>
    <phoneticPr fontId="1"/>
  </si>
  <si>
    <t>上限値</t>
    <rPh sb="0" eb="3">
      <t>ジョウゲンチ</t>
    </rPh>
    <phoneticPr fontId="1"/>
  </si>
  <si>
    <t>ν=n-1</t>
    <phoneticPr fontId="1"/>
  </si>
  <si>
    <r>
      <rPr>
        <sz val="11"/>
        <color theme="1"/>
        <rFont val="Times New Roman"/>
        <family val="1"/>
        <charset val="161"/>
      </rPr>
      <t>σ</t>
    </r>
    <r>
      <rPr>
        <vertAlign val="superscript"/>
        <sz val="11"/>
        <color theme="1"/>
        <rFont val="Times New Roman"/>
        <family val="1"/>
      </rPr>
      <t>2</t>
    </r>
    <r>
      <rPr>
        <vertAlign val="subscript"/>
        <sz val="11"/>
        <color theme="1"/>
        <rFont val="Times New Roman"/>
        <family val="1"/>
      </rPr>
      <t>_hat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</si>
</sst>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rgb="FFFF0000"/>
      <name val="Calibri"/>
      <family val="2"/>
      <charset val="128"/>
      <scheme val="minor"/>
    </font>
    <font>
      <sz val="11"/>
      <color theme="1"/>
      <name val="BIZ UDPゴシック"/>
      <family val="3"/>
      <charset val="128"/>
    </font>
    <font>
      <sz val="11"/>
      <color theme="1"/>
      <name val="Times New Roman"/>
      <family val="3"/>
      <charset val="128"/>
    </font>
    <font>
      <sz val="11"/>
      <color rgb="FFFF0000"/>
      <name val="Calibri"/>
      <family val="3"/>
      <charset val="128"/>
      <scheme val="minor"/>
    </font>
    <font>
      <sz val="11"/>
      <color theme="1"/>
      <name val="Times New Roman"/>
      <family val="1"/>
      <charset val="16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/>
      <diagonal/>
    </border>
    <border>
      <left style="dotted">
        <color auto="1"/>
      </left>
      <right style="dotted">
        <color auto="1"/>
      </right>
      <top style="thick">
        <color auto="1"/>
      </top>
      <bottom/>
      <diagonal/>
    </border>
    <border>
      <left style="dotted">
        <color auto="1"/>
      </left>
      <right style="thick">
        <color auto="1"/>
      </right>
      <top style="thick">
        <color auto="1"/>
      </top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0" fillId="0" borderId="7" xfId="0" applyBorder="1">
      <alignment vertical="center"/>
    </xf>
    <xf numFmtId="0" fontId="7" fillId="0" borderId="8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2" borderId="4" xfId="0" applyFill="1" applyBorder="1">
      <alignment vertical="center"/>
    </xf>
    <xf numFmtId="0" fontId="7" fillId="2" borderId="5" xfId="0" applyFon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" xfId="0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right" vertical="center"/>
    </xf>
    <xf numFmtId="0" fontId="0" fillId="3" borderId="12" xfId="0" applyFill="1" applyBorder="1">
      <alignment vertical="center"/>
    </xf>
    <xf numFmtId="0" fontId="0" fillId="4" borderId="9" xfId="0" applyFill="1" applyBorder="1">
      <alignment vertical="center"/>
    </xf>
    <xf numFmtId="0" fontId="0" fillId="4" borderId="6" xfId="0" applyFill="1" applyBorder="1">
      <alignment vertical="center"/>
    </xf>
    <xf numFmtId="0" fontId="5" fillId="0" borderId="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8" fillId="2" borderId="9" xfId="0" applyFont="1" applyFill="1" applyBorder="1">
      <alignment vertical="center"/>
    </xf>
    <xf numFmtId="0" fontId="8" fillId="0" borderId="6" xfId="0" applyFont="1" applyBorder="1">
      <alignment vertical="center"/>
    </xf>
    <xf numFmtId="0" fontId="8" fillId="0" borderId="9" xfId="0" applyFont="1" applyBorder="1">
      <alignment vertical="center"/>
    </xf>
    <xf numFmtId="0" fontId="8" fillId="0" borderId="3" xfId="0" applyFont="1" applyBorder="1">
      <alignment vertical="center"/>
    </xf>
    <xf numFmtId="0" fontId="8" fillId="2" borderId="6" xfId="0" applyFont="1" applyFill="1" applyBorder="1">
      <alignment vertical="center"/>
    </xf>
    <xf numFmtId="0" fontId="8" fillId="3" borderId="12" xfId="0" applyFont="1" applyFill="1" applyBorder="1">
      <alignment vertical="center"/>
    </xf>
    <xf numFmtId="0" fontId="8" fillId="4" borderId="9" xfId="0" applyFont="1" applyFill="1" applyBorder="1">
      <alignment vertical="center"/>
    </xf>
    <xf numFmtId="0" fontId="8" fillId="4" borderId="6" xfId="0" applyFont="1" applyFill="1" applyBorder="1">
      <alignment vertical="center"/>
    </xf>
    <xf numFmtId="0" fontId="9" fillId="2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6DBDF-299B-48EA-AE63-1AA64D200885}">
  <dimension ref="B2:F18"/>
  <sheetViews>
    <sheetView showGridLines="0" tabSelected="1" zoomScale="200" workbookViewId="0">
      <selection activeCell="F17" sqref="F17"/>
    </sheetView>
  </sheetViews>
  <sheetFormatPr baseColWidth="10" defaultColWidth="8.83203125" defaultRowHeight="15"/>
  <cols>
    <col min="3" max="3" width="6.6640625" bestFit="1" customWidth="1"/>
    <col min="4" max="4" width="16.1640625" customWidth="1"/>
    <col min="5" max="5" width="10.1640625" bestFit="1" customWidth="1"/>
  </cols>
  <sheetData>
    <row r="2" spans="2:6">
      <c r="B2" t="s">
        <v>0</v>
      </c>
    </row>
    <row r="3" spans="2:6">
      <c r="B3" t="s">
        <v>1</v>
      </c>
    </row>
    <row r="4" spans="2:6" ht="16" thickBot="1"/>
    <row r="5" spans="2:6" ht="16" thickTop="1">
      <c r="C5" t="s">
        <v>2</v>
      </c>
      <c r="D5" s="38" t="s">
        <v>3</v>
      </c>
      <c r="E5" s="39"/>
      <c r="F5" s="25" t="s">
        <v>10</v>
      </c>
    </row>
    <row r="6" spans="2:6">
      <c r="D6" s="40" t="s">
        <v>4</v>
      </c>
      <c r="E6" s="41"/>
      <c r="F6" s="26" t="s">
        <v>11</v>
      </c>
    </row>
    <row r="7" spans="2:6">
      <c r="D7" s="19" t="s">
        <v>5</v>
      </c>
      <c r="E7" s="20" t="s">
        <v>8</v>
      </c>
      <c r="F7" s="27">
        <v>30</v>
      </c>
    </row>
    <row r="8" spans="2:6" ht="18">
      <c r="D8" s="19" t="s">
        <v>6</v>
      </c>
      <c r="E8" s="20" t="s">
        <v>16</v>
      </c>
      <c r="F8" s="27">
        <v>72</v>
      </c>
    </row>
    <row r="9" spans="2:6" ht="16" thickBot="1">
      <c r="D9" s="1" t="s">
        <v>7</v>
      </c>
      <c r="E9" s="6" t="s">
        <v>9</v>
      </c>
      <c r="F9" s="28">
        <v>58</v>
      </c>
    </row>
    <row r="10" spans="2:6" ht="19" thickTop="1">
      <c r="C10" t="s">
        <v>12</v>
      </c>
      <c r="D10" s="17" t="s">
        <v>13</v>
      </c>
      <c r="E10" s="37" t="s">
        <v>29</v>
      </c>
      <c r="F10" s="29">
        <f>F11/(F7-1)</f>
        <v>60</v>
      </c>
    </row>
    <row r="11" spans="2:6" ht="19" thickBot="1">
      <c r="D11" s="1" t="s">
        <v>14</v>
      </c>
      <c r="E11" s="7" t="s">
        <v>15</v>
      </c>
      <c r="F11" s="30">
        <f>F9*F7</f>
        <v>1740</v>
      </c>
    </row>
    <row r="12" spans="2:6" ht="16" thickTop="1">
      <c r="C12" t="s">
        <v>17</v>
      </c>
      <c r="D12" s="9" t="s">
        <v>18</v>
      </c>
      <c r="E12" s="10" t="s">
        <v>28</v>
      </c>
      <c r="F12" s="31">
        <f>F7-1</f>
        <v>29</v>
      </c>
    </row>
    <row r="13" spans="2:6">
      <c r="D13" s="11" t="s">
        <v>19</v>
      </c>
      <c r="E13" s="12" t="s">
        <v>20</v>
      </c>
      <c r="F13" s="32">
        <f>(1-0.95)/2</f>
        <v>2.5000000000000022E-2</v>
      </c>
    </row>
    <row r="14" spans="2:6" ht="19" thickBot="1">
      <c r="D14" s="14" t="s">
        <v>21</v>
      </c>
      <c r="E14" s="15" t="s">
        <v>22</v>
      </c>
      <c r="F14" s="33">
        <f>ABS(_xlfn.T.INV(F13,F12))</f>
        <v>2.0452296421327034</v>
      </c>
    </row>
    <row r="15" spans="2:6" ht="17" thickTop="1" thickBot="1">
      <c r="C15" t="s">
        <v>23</v>
      </c>
      <c r="D15" s="42" t="s">
        <v>24</v>
      </c>
      <c r="E15" s="43"/>
      <c r="F15" s="34">
        <f>F14*SQRT(F10/F7)</f>
        <v>2.8923914980715408</v>
      </c>
    </row>
    <row r="16" spans="2:6" ht="16" thickTop="1">
      <c r="C16" t="s">
        <v>25</v>
      </c>
      <c r="D16" s="44" t="s">
        <v>26</v>
      </c>
      <c r="E16" s="45"/>
      <c r="F16" s="35">
        <f>F8-F15</f>
        <v>69.107608501928453</v>
      </c>
    </row>
    <row r="17" spans="4:6" ht="16" thickBot="1">
      <c r="D17" s="46" t="s">
        <v>27</v>
      </c>
      <c r="E17" s="47"/>
      <c r="F17" s="36">
        <f>F8+F15</f>
        <v>74.892391498071547</v>
      </c>
    </row>
    <row r="18" spans="4:6" ht="16" thickTop="1"/>
  </sheetData>
  <mergeCells count="5">
    <mergeCell ref="D5:E5"/>
    <mergeCell ref="D6:E6"/>
    <mergeCell ref="D15:E15"/>
    <mergeCell ref="D16:E16"/>
    <mergeCell ref="D17:E17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D13A-2A4F-4E04-A718-F0B06D9B3723}">
  <dimension ref="B2:F18"/>
  <sheetViews>
    <sheetView showGridLines="0" zoomScale="194" workbookViewId="0"/>
  </sheetViews>
  <sheetFormatPr baseColWidth="10" defaultColWidth="8.83203125" defaultRowHeight="15"/>
  <cols>
    <col min="3" max="3" width="6.6640625" bestFit="1" customWidth="1"/>
    <col min="4" max="4" width="16.1640625" customWidth="1"/>
    <col min="5" max="5" width="10.1640625" bestFit="1" customWidth="1"/>
  </cols>
  <sheetData>
    <row r="2" spans="2:6">
      <c r="B2" t="s">
        <v>0</v>
      </c>
    </row>
    <row r="3" spans="2:6">
      <c r="B3" t="s">
        <v>1</v>
      </c>
    </row>
    <row r="4" spans="2:6" ht="16" thickBot="1"/>
    <row r="5" spans="2:6" ht="16" thickTop="1">
      <c r="C5" t="s">
        <v>2</v>
      </c>
      <c r="D5" s="38" t="s">
        <v>3</v>
      </c>
      <c r="E5" s="39"/>
      <c r="F5" s="4"/>
    </row>
    <row r="6" spans="2:6">
      <c r="D6" s="40" t="s">
        <v>4</v>
      </c>
      <c r="E6" s="41"/>
      <c r="F6" s="5"/>
    </row>
    <row r="7" spans="2:6">
      <c r="D7" s="19" t="s">
        <v>5</v>
      </c>
      <c r="E7" s="20" t="s">
        <v>8</v>
      </c>
      <c r="F7" s="21"/>
    </row>
    <row r="8" spans="2:6" ht="18">
      <c r="D8" s="19" t="s">
        <v>6</v>
      </c>
      <c r="E8" s="20" t="s">
        <v>16</v>
      </c>
      <c r="F8" s="21"/>
    </row>
    <row r="9" spans="2:6" ht="16" thickBot="1">
      <c r="D9" s="1" t="s">
        <v>7</v>
      </c>
      <c r="E9" s="6" t="s">
        <v>9</v>
      </c>
      <c r="F9" s="8"/>
    </row>
    <row r="10" spans="2:6" ht="19" thickTop="1">
      <c r="C10" t="s">
        <v>12</v>
      </c>
      <c r="D10" s="17" t="s">
        <v>13</v>
      </c>
      <c r="E10" s="37" t="s">
        <v>29</v>
      </c>
      <c r="F10" s="18"/>
    </row>
    <row r="11" spans="2:6" ht="19" thickBot="1">
      <c r="D11" s="1" t="s">
        <v>14</v>
      </c>
      <c r="E11" s="7" t="s">
        <v>15</v>
      </c>
      <c r="F11" s="2"/>
    </row>
    <row r="12" spans="2:6" ht="16" thickTop="1">
      <c r="C12" t="s">
        <v>17</v>
      </c>
      <c r="D12" s="9" t="s">
        <v>18</v>
      </c>
      <c r="E12" s="10" t="s">
        <v>28</v>
      </c>
      <c r="F12" s="3"/>
    </row>
    <row r="13" spans="2:6">
      <c r="D13" s="11" t="s">
        <v>19</v>
      </c>
      <c r="E13" s="12" t="s">
        <v>20</v>
      </c>
      <c r="F13" s="13"/>
    </row>
    <row r="14" spans="2:6" ht="19" thickBot="1">
      <c r="D14" s="14" t="s">
        <v>21</v>
      </c>
      <c r="E14" s="15" t="s">
        <v>22</v>
      </c>
      <c r="F14" s="16"/>
    </row>
    <row r="15" spans="2:6" ht="17" thickTop="1" thickBot="1">
      <c r="C15" t="s">
        <v>23</v>
      </c>
      <c r="D15" s="42" t="s">
        <v>24</v>
      </c>
      <c r="E15" s="43"/>
      <c r="F15" s="22"/>
    </row>
    <row r="16" spans="2:6" ht="16" thickTop="1">
      <c r="C16" t="s">
        <v>25</v>
      </c>
      <c r="D16" s="44" t="s">
        <v>26</v>
      </c>
      <c r="E16" s="45"/>
      <c r="F16" s="23"/>
    </row>
    <row r="17" spans="4:6" ht="16" thickBot="1">
      <c r="D17" s="46" t="s">
        <v>27</v>
      </c>
      <c r="E17" s="47"/>
      <c r="F17" s="24"/>
    </row>
    <row r="18" spans="4:6" ht="16" thickTop="1"/>
  </sheetData>
  <mergeCells count="5">
    <mergeCell ref="D5:E5"/>
    <mergeCell ref="D6:E6"/>
    <mergeCell ref="D15:E15"/>
    <mergeCell ref="D16:E16"/>
    <mergeCell ref="D17:E17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解答_母平均の区間推定</vt:lpstr>
      <vt:lpstr>母平均の区間推定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河野　洋</cp:lastModifiedBy>
  <dcterms:created xsi:type="dcterms:W3CDTF">2025-09-02T08:09:35Z</dcterms:created>
  <dcterms:modified xsi:type="dcterms:W3CDTF">2025-09-29T10:20:30Z</dcterms:modified>
</cp:coreProperties>
</file>