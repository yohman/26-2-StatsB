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rais\Desktop\"/>
    </mc:Choice>
  </mc:AlternateContent>
  <xr:revisionPtr revIDLastSave="0" documentId="13_ncr:1_{917916CB-754C-4229-AA3D-BCE198687E1A}" xr6:coauthVersionLast="47" xr6:coauthVersionMax="47" xr10:uidLastSave="{00000000-0000-0000-0000-000000000000}"/>
  <bookViews>
    <workbookView xWindow="-110" yWindow="-110" windowWidth="19420" windowHeight="10420" xr2:uid="{1619192C-3EDD-4E6D-BBFE-580124EDFFF7}"/>
  </bookViews>
  <sheets>
    <sheet name="テストの得点" sheetId="17" r:id="rId1"/>
    <sheet name="ネジの長さ" sheetId="15" r:id="rId2"/>
    <sheet name="バッテリーの寿命" sheetId="19" r:id="rId3"/>
    <sheet name="トマトの重量" sheetId="21" r:id="rId4"/>
    <sheet name="標準正規分布表" sheetId="10" r:id="rId5"/>
    <sheet name="t分布表" sheetId="11" r:id="rId6"/>
    <sheet name="カイ二乗分布表" sheetId="13" r:id="rId7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9" i="21" l="1"/>
  <c r="C10" i="21" s="1"/>
  <c r="C11" i="21" s="1"/>
  <c r="C12" i="21" s="1"/>
  <c r="C13" i="21" s="1"/>
  <c r="C14" i="21" s="1"/>
  <c r="C8" i="21"/>
  <c r="C7" i="17" l="1"/>
  <c r="C8" i="17" s="1"/>
  <c r="C9" i="17" s="1"/>
  <c r="C10" i="17" s="1"/>
  <c r="C11" i="17" s="1"/>
  <c r="C12" i="17" s="1"/>
  <c r="C13" i="17" s="1"/>
  <c r="C14" i="17" s="1"/>
  <c r="C15" i="17" s="1"/>
  <c r="C16" i="17" s="1"/>
  <c r="C17" i="17" s="1"/>
  <c r="L46" i="13" l="1"/>
  <c r="K46" i="13"/>
  <c r="J46" i="13"/>
  <c r="I46" i="13"/>
  <c r="H46" i="13"/>
  <c r="G46" i="13"/>
  <c r="F46" i="13"/>
  <c r="E46" i="13"/>
  <c r="L45" i="13"/>
  <c r="K45" i="13"/>
  <c r="J45" i="13"/>
  <c r="I45" i="13"/>
  <c r="H45" i="13"/>
  <c r="G45" i="13"/>
  <c r="F45" i="13"/>
  <c r="E45" i="13"/>
  <c r="L44" i="13"/>
  <c r="K44" i="13"/>
  <c r="J44" i="13"/>
  <c r="I44" i="13"/>
  <c r="H44" i="13"/>
  <c r="G44" i="13"/>
  <c r="F44" i="13"/>
  <c r="E44" i="13"/>
  <c r="L43" i="13"/>
  <c r="K43" i="13"/>
  <c r="J43" i="13"/>
  <c r="I43" i="13"/>
  <c r="H43" i="13"/>
  <c r="G43" i="13"/>
  <c r="F43" i="13"/>
  <c r="E43" i="13"/>
  <c r="L42" i="13"/>
  <c r="K42" i="13"/>
  <c r="J42" i="13"/>
  <c r="I42" i="13"/>
  <c r="H42" i="13"/>
  <c r="G42" i="13"/>
  <c r="F42" i="13"/>
  <c r="E42" i="13"/>
  <c r="L40" i="13"/>
  <c r="K40" i="13"/>
  <c r="J40" i="13"/>
  <c r="I40" i="13"/>
  <c r="H40" i="13"/>
  <c r="G40" i="13"/>
  <c r="F40" i="13"/>
  <c r="E40" i="13"/>
  <c r="L39" i="13"/>
  <c r="K39" i="13"/>
  <c r="J39" i="13"/>
  <c r="I39" i="13"/>
  <c r="H39" i="13"/>
  <c r="G39" i="13"/>
  <c r="F39" i="13"/>
  <c r="E39" i="13"/>
  <c r="L38" i="13"/>
  <c r="K38" i="13"/>
  <c r="J38" i="13"/>
  <c r="I38" i="13"/>
  <c r="H38" i="13"/>
  <c r="G38" i="13"/>
  <c r="F38" i="13"/>
  <c r="E38" i="13"/>
  <c r="L37" i="13"/>
  <c r="K37" i="13"/>
  <c r="J37" i="13"/>
  <c r="I37" i="13"/>
  <c r="H37" i="13"/>
  <c r="G37" i="13"/>
  <c r="F37" i="13"/>
  <c r="E37" i="13"/>
  <c r="L36" i="13"/>
  <c r="K36" i="13"/>
  <c r="J36" i="13"/>
  <c r="I36" i="13"/>
  <c r="H36" i="13"/>
  <c r="G36" i="13"/>
  <c r="F36" i="13"/>
  <c r="E36" i="13"/>
  <c r="L34" i="13"/>
  <c r="K34" i="13"/>
  <c r="J34" i="13"/>
  <c r="I34" i="13"/>
  <c r="H34" i="13"/>
  <c r="G34" i="13"/>
  <c r="F34" i="13"/>
  <c r="E34" i="13"/>
  <c r="L33" i="13"/>
  <c r="K33" i="13"/>
  <c r="J33" i="13"/>
  <c r="I33" i="13"/>
  <c r="H33" i="13"/>
  <c r="G33" i="13"/>
  <c r="F33" i="13"/>
  <c r="E33" i="13"/>
  <c r="L32" i="13"/>
  <c r="K32" i="13"/>
  <c r="J32" i="13"/>
  <c r="I32" i="13"/>
  <c r="H32" i="13"/>
  <c r="G32" i="13"/>
  <c r="F32" i="13"/>
  <c r="E32" i="13"/>
  <c r="L31" i="13"/>
  <c r="K31" i="13"/>
  <c r="J31" i="13"/>
  <c r="I31" i="13"/>
  <c r="H31" i="13"/>
  <c r="G31" i="13"/>
  <c r="F31" i="13"/>
  <c r="E31" i="13"/>
  <c r="L30" i="13"/>
  <c r="K30" i="13"/>
  <c r="J30" i="13"/>
  <c r="I30" i="13"/>
  <c r="H30" i="13"/>
  <c r="G30" i="13"/>
  <c r="F30" i="13"/>
  <c r="E30" i="13"/>
  <c r="L28" i="13"/>
  <c r="K28" i="13"/>
  <c r="J28" i="13"/>
  <c r="I28" i="13"/>
  <c r="H28" i="13"/>
  <c r="G28" i="13"/>
  <c r="F28" i="13"/>
  <c r="E28" i="13"/>
  <c r="L27" i="13"/>
  <c r="K27" i="13"/>
  <c r="J27" i="13"/>
  <c r="I27" i="13"/>
  <c r="H27" i="13"/>
  <c r="G27" i="13"/>
  <c r="F27" i="13"/>
  <c r="E27" i="13"/>
  <c r="L26" i="13"/>
  <c r="K26" i="13"/>
  <c r="J26" i="13"/>
  <c r="I26" i="13"/>
  <c r="H26" i="13"/>
  <c r="G26" i="13"/>
  <c r="F26" i="13"/>
  <c r="E26" i="13"/>
  <c r="L25" i="13"/>
  <c r="K25" i="13"/>
  <c r="J25" i="13"/>
  <c r="I25" i="13"/>
  <c r="H25" i="13"/>
  <c r="G25" i="13"/>
  <c r="F25" i="13"/>
  <c r="E25" i="13"/>
  <c r="L24" i="13"/>
  <c r="K24" i="13"/>
  <c r="J24" i="13"/>
  <c r="I24" i="13"/>
  <c r="H24" i="13"/>
  <c r="G24" i="13"/>
  <c r="F24" i="13"/>
  <c r="E24" i="13"/>
  <c r="L22" i="13"/>
  <c r="K22" i="13"/>
  <c r="J22" i="13"/>
  <c r="I22" i="13"/>
  <c r="H22" i="13"/>
  <c r="G22" i="13"/>
  <c r="F22" i="13"/>
  <c r="E22" i="13"/>
  <c r="L21" i="13"/>
  <c r="K21" i="13"/>
  <c r="J21" i="13"/>
  <c r="I21" i="13"/>
  <c r="H21" i="13"/>
  <c r="G21" i="13"/>
  <c r="F21" i="13"/>
  <c r="E21" i="13"/>
  <c r="L20" i="13"/>
  <c r="K20" i="13"/>
  <c r="J20" i="13"/>
  <c r="I20" i="13"/>
  <c r="H20" i="13"/>
  <c r="G20" i="13"/>
  <c r="F20" i="13"/>
  <c r="E20" i="13"/>
  <c r="L19" i="13"/>
  <c r="K19" i="13"/>
  <c r="J19" i="13"/>
  <c r="I19" i="13"/>
  <c r="H19" i="13"/>
  <c r="G19" i="13"/>
  <c r="F19" i="13"/>
  <c r="E19" i="13"/>
  <c r="L18" i="13"/>
  <c r="K18" i="13"/>
  <c r="J18" i="13"/>
  <c r="I18" i="13"/>
  <c r="H18" i="13"/>
  <c r="G18" i="13"/>
  <c r="F18" i="13"/>
  <c r="E18" i="13"/>
  <c r="L16" i="13"/>
  <c r="K16" i="13"/>
  <c r="J16" i="13"/>
  <c r="I16" i="13"/>
  <c r="H16" i="13"/>
  <c r="G16" i="13"/>
  <c r="F16" i="13"/>
  <c r="E16" i="13"/>
  <c r="L15" i="13"/>
  <c r="K15" i="13"/>
  <c r="J15" i="13"/>
  <c r="I15" i="13"/>
  <c r="H15" i="13"/>
  <c r="G15" i="13"/>
  <c r="F15" i="13"/>
  <c r="E15" i="13"/>
  <c r="L14" i="13"/>
  <c r="K14" i="13"/>
  <c r="J14" i="13"/>
  <c r="I14" i="13"/>
  <c r="H14" i="13"/>
  <c r="G14" i="13"/>
  <c r="F14" i="13"/>
  <c r="E14" i="13"/>
  <c r="L13" i="13"/>
  <c r="K13" i="13"/>
  <c r="J13" i="13"/>
  <c r="I13" i="13"/>
  <c r="H13" i="13"/>
  <c r="G13" i="13"/>
  <c r="F13" i="13"/>
  <c r="E13" i="13"/>
  <c r="L12" i="13"/>
  <c r="K12" i="13"/>
  <c r="J12" i="13"/>
  <c r="I12" i="13"/>
  <c r="H12" i="13"/>
  <c r="G12" i="13"/>
  <c r="F12" i="13"/>
  <c r="E12" i="13"/>
  <c r="L10" i="13"/>
  <c r="K10" i="13"/>
  <c r="J10" i="13"/>
  <c r="I10" i="13"/>
  <c r="H10" i="13"/>
  <c r="G10" i="13"/>
  <c r="F10" i="13"/>
  <c r="E10" i="13"/>
  <c r="L9" i="13"/>
  <c r="K9" i="13"/>
  <c r="J9" i="13"/>
  <c r="I9" i="13"/>
  <c r="H9" i="13"/>
  <c r="G9" i="13"/>
  <c r="F9" i="13"/>
  <c r="E9" i="13"/>
  <c r="L8" i="13"/>
  <c r="K8" i="13"/>
  <c r="J8" i="13"/>
  <c r="I8" i="13"/>
  <c r="H8" i="13"/>
  <c r="G8" i="13"/>
  <c r="F8" i="13"/>
  <c r="E8" i="13"/>
  <c r="L7" i="13"/>
  <c r="K7" i="13"/>
  <c r="J7" i="13"/>
  <c r="I7" i="13"/>
  <c r="H7" i="13"/>
  <c r="G7" i="13"/>
  <c r="F7" i="13"/>
  <c r="E7" i="13"/>
  <c r="L6" i="13"/>
  <c r="K6" i="13"/>
  <c r="J6" i="13"/>
  <c r="I6" i="13"/>
  <c r="H6" i="13"/>
  <c r="G6" i="13"/>
  <c r="F6" i="13"/>
  <c r="E6" i="13"/>
  <c r="L46" i="11" l="1"/>
  <c r="K46" i="11"/>
  <c r="J46" i="11"/>
  <c r="I46" i="11"/>
  <c r="H46" i="11"/>
  <c r="G46" i="11"/>
  <c r="F46" i="11"/>
  <c r="E46" i="11"/>
  <c r="L45" i="11"/>
  <c r="K45" i="11"/>
  <c r="J45" i="11"/>
  <c r="I45" i="11"/>
  <c r="H45" i="11"/>
  <c r="G45" i="11"/>
  <c r="F45" i="11"/>
  <c r="E45" i="11"/>
  <c r="L44" i="11"/>
  <c r="K44" i="11"/>
  <c r="J44" i="11"/>
  <c r="I44" i="11"/>
  <c r="H44" i="11"/>
  <c r="G44" i="11"/>
  <c r="F44" i="11"/>
  <c r="E44" i="11"/>
  <c r="L43" i="11"/>
  <c r="K43" i="11"/>
  <c r="J43" i="11"/>
  <c r="I43" i="11"/>
  <c r="H43" i="11"/>
  <c r="G43" i="11"/>
  <c r="F43" i="11"/>
  <c r="E43" i="11"/>
  <c r="L42" i="11"/>
  <c r="K42" i="11"/>
  <c r="J42" i="11"/>
  <c r="I42" i="11"/>
  <c r="H42" i="11"/>
  <c r="G42" i="11"/>
  <c r="F42" i="11"/>
  <c r="E42" i="11"/>
  <c r="L40" i="11"/>
  <c r="K40" i="11"/>
  <c r="J40" i="11"/>
  <c r="I40" i="11"/>
  <c r="H40" i="11"/>
  <c r="G40" i="11"/>
  <c r="F40" i="11"/>
  <c r="E40" i="11"/>
  <c r="L39" i="11"/>
  <c r="K39" i="11"/>
  <c r="J39" i="11"/>
  <c r="I39" i="11"/>
  <c r="H39" i="11"/>
  <c r="G39" i="11"/>
  <c r="F39" i="11"/>
  <c r="E39" i="11"/>
  <c r="L38" i="11"/>
  <c r="K38" i="11"/>
  <c r="J38" i="11"/>
  <c r="I38" i="11"/>
  <c r="H38" i="11"/>
  <c r="G38" i="11"/>
  <c r="F38" i="11"/>
  <c r="E38" i="11"/>
  <c r="L37" i="11"/>
  <c r="K37" i="11"/>
  <c r="J37" i="11"/>
  <c r="I37" i="11"/>
  <c r="H37" i="11"/>
  <c r="G37" i="11"/>
  <c r="F37" i="11"/>
  <c r="E37" i="11"/>
  <c r="L36" i="11"/>
  <c r="K36" i="11"/>
  <c r="J36" i="11"/>
  <c r="I36" i="11"/>
  <c r="H36" i="11"/>
  <c r="G36" i="11"/>
  <c r="F36" i="11"/>
  <c r="E36" i="11"/>
  <c r="L34" i="11"/>
  <c r="K34" i="11"/>
  <c r="J34" i="11"/>
  <c r="I34" i="11"/>
  <c r="H34" i="11"/>
  <c r="G34" i="11"/>
  <c r="F34" i="11"/>
  <c r="E34" i="11"/>
  <c r="L33" i="11"/>
  <c r="K33" i="11"/>
  <c r="J33" i="11"/>
  <c r="I33" i="11"/>
  <c r="H33" i="11"/>
  <c r="G33" i="11"/>
  <c r="F33" i="11"/>
  <c r="E33" i="11"/>
  <c r="L32" i="11"/>
  <c r="K32" i="11"/>
  <c r="J32" i="11"/>
  <c r="I32" i="11"/>
  <c r="H32" i="11"/>
  <c r="G32" i="11"/>
  <c r="F32" i="11"/>
  <c r="E32" i="11"/>
  <c r="L31" i="11"/>
  <c r="K31" i="11"/>
  <c r="J31" i="11"/>
  <c r="I31" i="11"/>
  <c r="H31" i="11"/>
  <c r="G31" i="11"/>
  <c r="F31" i="11"/>
  <c r="E31" i="11"/>
  <c r="L30" i="11"/>
  <c r="K30" i="11"/>
  <c r="J30" i="11"/>
  <c r="I30" i="11"/>
  <c r="H30" i="11"/>
  <c r="G30" i="11"/>
  <c r="F30" i="11"/>
  <c r="E30" i="11"/>
  <c r="L28" i="11"/>
  <c r="K28" i="11"/>
  <c r="J28" i="11"/>
  <c r="I28" i="11"/>
  <c r="H28" i="11"/>
  <c r="G28" i="11"/>
  <c r="F28" i="11"/>
  <c r="E28" i="11"/>
  <c r="L27" i="11"/>
  <c r="K27" i="11"/>
  <c r="J27" i="11"/>
  <c r="I27" i="11"/>
  <c r="H27" i="11"/>
  <c r="G27" i="11"/>
  <c r="F27" i="11"/>
  <c r="E27" i="11"/>
  <c r="L26" i="11"/>
  <c r="K26" i="11"/>
  <c r="J26" i="11"/>
  <c r="I26" i="11"/>
  <c r="H26" i="11"/>
  <c r="G26" i="11"/>
  <c r="F26" i="11"/>
  <c r="E26" i="11"/>
  <c r="L25" i="11"/>
  <c r="K25" i="11"/>
  <c r="J25" i="11"/>
  <c r="I25" i="11"/>
  <c r="H25" i="11"/>
  <c r="G25" i="11"/>
  <c r="F25" i="11"/>
  <c r="E25" i="11"/>
  <c r="L24" i="11"/>
  <c r="K24" i="11"/>
  <c r="J24" i="11"/>
  <c r="I24" i="11"/>
  <c r="H24" i="11"/>
  <c r="G24" i="11"/>
  <c r="F24" i="11"/>
  <c r="E24" i="11"/>
  <c r="L22" i="11"/>
  <c r="K22" i="11"/>
  <c r="J22" i="11"/>
  <c r="I22" i="11"/>
  <c r="H22" i="11"/>
  <c r="G22" i="11"/>
  <c r="F22" i="11"/>
  <c r="E22" i="11"/>
  <c r="L21" i="11"/>
  <c r="K21" i="11"/>
  <c r="J21" i="11"/>
  <c r="I21" i="11"/>
  <c r="H21" i="11"/>
  <c r="G21" i="11"/>
  <c r="F21" i="11"/>
  <c r="E21" i="11"/>
  <c r="L20" i="11"/>
  <c r="K20" i="11"/>
  <c r="J20" i="11"/>
  <c r="I20" i="11"/>
  <c r="H20" i="11"/>
  <c r="G20" i="11"/>
  <c r="F20" i="11"/>
  <c r="E20" i="11"/>
  <c r="L19" i="11"/>
  <c r="K19" i="11"/>
  <c r="J19" i="11"/>
  <c r="I19" i="11"/>
  <c r="H19" i="11"/>
  <c r="G19" i="11"/>
  <c r="F19" i="11"/>
  <c r="E19" i="11"/>
  <c r="L18" i="11"/>
  <c r="K18" i="11"/>
  <c r="J18" i="11"/>
  <c r="I18" i="11"/>
  <c r="H18" i="11"/>
  <c r="G18" i="11"/>
  <c r="F18" i="11"/>
  <c r="E18" i="11"/>
  <c r="L16" i="11"/>
  <c r="K16" i="11"/>
  <c r="J16" i="11"/>
  <c r="I16" i="11"/>
  <c r="H16" i="11"/>
  <c r="G16" i="11"/>
  <c r="F16" i="11"/>
  <c r="E16" i="11"/>
  <c r="L15" i="11"/>
  <c r="K15" i="11"/>
  <c r="J15" i="11"/>
  <c r="I15" i="11"/>
  <c r="H15" i="11"/>
  <c r="G15" i="11"/>
  <c r="F15" i="11"/>
  <c r="E15" i="11"/>
  <c r="L14" i="11"/>
  <c r="K14" i="11"/>
  <c r="J14" i="11"/>
  <c r="I14" i="11"/>
  <c r="H14" i="11"/>
  <c r="G14" i="11"/>
  <c r="F14" i="11"/>
  <c r="E14" i="11"/>
  <c r="L13" i="11"/>
  <c r="K13" i="11"/>
  <c r="J13" i="11"/>
  <c r="I13" i="11"/>
  <c r="H13" i="11"/>
  <c r="G13" i="11"/>
  <c r="F13" i="11"/>
  <c r="E13" i="11"/>
  <c r="L12" i="11"/>
  <c r="K12" i="11"/>
  <c r="J12" i="11"/>
  <c r="I12" i="11"/>
  <c r="H12" i="11"/>
  <c r="G12" i="11"/>
  <c r="F12" i="11"/>
  <c r="E12" i="11"/>
  <c r="L10" i="11"/>
  <c r="K10" i="11"/>
  <c r="J10" i="11"/>
  <c r="I10" i="11"/>
  <c r="H10" i="11"/>
  <c r="G10" i="11"/>
  <c r="F10" i="11"/>
  <c r="E10" i="11"/>
  <c r="L9" i="11"/>
  <c r="K9" i="11"/>
  <c r="J9" i="11"/>
  <c r="I9" i="11"/>
  <c r="H9" i="11"/>
  <c r="G9" i="11"/>
  <c r="F9" i="11"/>
  <c r="E9" i="11"/>
  <c r="L8" i="11"/>
  <c r="K8" i="11"/>
  <c r="J8" i="11"/>
  <c r="I8" i="11"/>
  <c r="H8" i="11"/>
  <c r="G8" i="11"/>
  <c r="F8" i="11"/>
  <c r="E8" i="11"/>
  <c r="L7" i="11"/>
  <c r="K7" i="11"/>
  <c r="J7" i="11"/>
  <c r="I7" i="11"/>
  <c r="H7" i="11"/>
  <c r="G7" i="11"/>
  <c r="F7" i="11"/>
  <c r="E7" i="11"/>
  <c r="L6" i="11"/>
  <c r="K6" i="11"/>
  <c r="J6" i="11"/>
  <c r="I6" i="11"/>
  <c r="H6" i="11"/>
  <c r="G6" i="11"/>
  <c r="F6" i="11"/>
  <c r="E6" i="11"/>
  <c r="M41" i="10" l="1"/>
  <c r="L41" i="10"/>
  <c r="K41" i="10"/>
  <c r="J41" i="10"/>
  <c r="I41" i="10"/>
  <c r="H41" i="10"/>
  <c r="G41" i="10"/>
  <c r="F41" i="10"/>
  <c r="E41" i="10"/>
  <c r="D41" i="10"/>
  <c r="M40" i="10"/>
  <c r="L40" i="10"/>
  <c r="K40" i="10"/>
  <c r="J40" i="10"/>
  <c r="I40" i="10"/>
  <c r="H40" i="10"/>
  <c r="G40" i="10"/>
  <c r="F40" i="10"/>
  <c r="E40" i="10"/>
  <c r="D40" i="10"/>
  <c r="M39" i="10"/>
  <c r="L39" i="10"/>
  <c r="K39" i="10"/>
  <c r="J39" i="10"/>
  <c r="I39" i="10"/>
  <c r="H39" i="10"/>
  <c r="G39" i="10"/>
  <c r="F39" i="10"/>
  <c r="E39" i="10"/>
  <c r="D39" i="10"/>
  <c r="M38" i="10"/>
  <c r="L38" i="10"/>
  <c r="K38" i="10"/>
  <c r="J38" i="10"/>
  <c r="I38" i="10"/>
  <c r="H38" i="10"/>
  <c r="G38" i="10"/>
  <c r="F38" i="10"/>
  <c r="E38" i="10"/>
  <c r="D38" i="10"/>
  <c r="M37" i="10"/>
  <c r="L37" i="10"/>
  <c r="K37" i="10"/>
  <c r="J37" i="10"/>
  <c r="I37" i="10"/>
  <c r="H37" i="10"/>
  <c r="G37" i="10"/>
  <c r="F37" i="10"/>
  <c r="E37" i="10"/>
  <c r="D37" i="10"/>
  <c r="M35" i="10"/>
  <c r="L35" i="10"/>
  <c r="K35" i="10"/>
  <c r="J35" i="10"/>
  <c r="I35" i="10"/>
  <c r="H35" i="10"/>
  <c r="G35" i="10"/>
  <c r="F35" i="10"/>
  <c r="E35" i="10"/>
  <c r="D35" i="10"/>
  <c r="M34" i="10"/>
  <c r="L34" i="10"/>
  <c r="K34" i="10"/>
  <c r="J34" i="10"/>
  <c r="I34" i="10"/>
  <c r="H34" i="10"/>
  <c r="G34" i="10"/>
  <c r="F34" i="10"/>
  <c r="E34" i="10"/>
  <c r="D34" i="10"/>
  <c r="M33" i="10"/>
  <c r="L33" i="10"/>
  <c r="K33" i="10"/>
  <c r="J33" i="10"/>
  <c r="I33" i="10"/>
  <c r="H33" i="10"/>
  <c r="G33" i="10"/>
  <c r="F33" i="10"/>
  <c r="E33" i="10"/>
  <c r="D33" i="10"/>
  <c r="M32" i="10"/>
  <c r="L32" i="10"/>
  <c r="K32" i="10"/>
  <c r="J32" i="10"/>
  <c r="I32" i="10"/>
  <c r="H32" i="10"/>
  <c r="G32" i="10"/>
  <c r="F32" i="10"/>
  <c r="E32" i="10"/>
  <c r="D32" i="10"/>
  <c r="M31" i="10"/>
  <c r="L31" i="10"/>
  <c r="K31" i="10"/>
  <c r="J31" i="10"/>
  <c r="I31" i="10"/>
  <c r="H31" i="10"/>
  <c r="G31" i="10"/>
  <c r="F31" i="10"/>
  <c r="E31" i="10"/>
  <c r="D31" i="10"/>
  <c r="M29" i="10"/>
  <c r="L29" i="10"/>
  <c r="K29" i="10"/>
  <c r="J29" i="10"/>
  <c r="I29" i="10"/>
  <c r="H29" i="10"/>
  <c r="G29" i="10"/>
  <c r="F29" i="10"/>
  <c r="E29" i="10"/>
  <c r="D29" i="10"/>
  <c r="M28" i="10"/>
  <c r="L28" i="10"/>
  <c r="K28" i="10"/>
  <c r="J28" i="10"/>
  <c r="I28" i="10"/>
  <c r="H28" i="10"/>
  <c r="G28" i="10"/>
  <c r="F28" i="10"/>
  <c r="E28" i="10"/>
  <c r="D28" i="10"/>
  <c r="M27" i="10"/>
  <c r="L27" i="10"/>
  <c r="K27" i="10"/>
  <c r="J27" i="10"/>
  <c r="I27" i="10"/>
  <c r="H27" i="10"/>
  <c r="G27" i="10"/>
  <c r="F27" i="10"/>
  <c r="E27" i="10"/>
  <c r="D27" i="10"/>
  <c r="M26" i="10"/>
  <c r="L26" i="10"/>
  <c r="K26" i="10"/>
  <c r="J26" i="10"/>
  <c r="I26" i="10"/>
  <c r="H26" i="10"/>
  <c r="G26" i="10"/>
  <c r="F26" i="10"/>
  <c r="E26" i="10"/>
  <c r="D26" i="10"/>
  <c r="M25" i="10"/>
  <c r="L25" i="10"/>
  <c r="K25" i="10"/>
  <c r="J25" i="10"/>
  <c r="I25" i="10"/>
  <c r="H25" i="10"/>
  <c r="G25" i="10"/>
  <c r="F25" i="10"/>
  <c r="E25" i="10"/>
  <c r="D25" i="10"/>
  <c r="M23" i="10"/>
  <c r="L23" i="10"/>
  <c r="K23" i="10"/>
  <c r="J23" i="10"/>
  <c r="I23" i="10"/>
  <c r="H23" i="10"/>
  <c r="G23" i="10"/>
  <c r="F23" i="10"/>
  <c r="E23" i="10"/>
  <c r="D23" i="10"/>
  <c r="M22" i="10"/>
  <c r="L22" i="10"/>
  <c r="K22" i="10"/>
  <c r="J22" i="10"/>
  <c r="I22" i="10"/>
  <c r="H22" i="10"/>
  <c r="G22" i="10"/>
  <c r="F22" i="10"/>
  <c r="E22" i="10"/>
  <c r="D22" i="10"/>
  <c r="M21" i="10"/>
  <c r="L21" i="10"/>
  <c r="K21" i="10"/>
  <c r="J21" i="10"/>
  <c r="I21" i="10"/>
  <c r="H21" i="10"/>
  <c r="G21" i="10"/>
  <c r="F21" i="10"/>
  <c r="E21" i="10"/>
  <c r="D21" i="10"/>
  <c r="M20" i="10"/>
  <c r="L20" i="10"/>
  <c r="K20" i="10"/>
  <c r="J20" i="10"/>
  <c r="I20" i="10"/>
  <c r="H20" i="10"/>
  <c r="G20" i="10"/>
  <c r="F20" i="10"/>
  <c r="E20" i="10"/>
  <c r="D20" i="10"/>
  <c r="M19" i="10"/>
  <c r="L19" i="10"/>
  <c r="K19" i="10"/>
  <c r="J19" i="10"/>
  <c r="I19" i="10"/>
  <c r="H19" i="10"/>
  <c r="G19" i="10"/>
  <c r="F19" i="10"/>
  <c r="E19" i="10"/>
  <c r="D19" i="10"/>
  <c r="M17" i="10"/>
  <c r="L17" i="10"/>
  <c r="K17" i="10"/>
  <c r="J17" i="10"/>
  <c r="I17" i="10"/>
  <c r="H17" i="10"/>
  <c r="G17" i="10"/>
  <c r="F17" i="10"/>
  <c r="E17" i="10"/>
  <c r="D17" i="10"/>
  <c r="M16" i="10"/>
  <c r="L16" i="10"/>
  <c r="K16" i="10"/>
  <c r="J16" i="10"/>
  <c r="I16" i="10"/>
  <c r="H16" i="10"/>
  <c r="G16" i="10"/>
  <c r="F16" i="10"/>
  <c r="E16" i="10"/>
  <c r="D16" i="10"/>
  <c r="M15" i="10"/>
  <c r="L15" i="10"/>
  <c r="K15" i="10"/>
  <c r="J15" i="10"/>
  <c r="I15" i="10"/>
  <c r="H15" i="10"/>
  <c r="G15" i="10"/>
  <c r="F15" i="10"/>
  <c r="E15" i="10"/>
  <c r="D15" i="10"/>
  <c r="M14" i="10"/>
  <c r="L14" i="10"/>
  <c r="K14" i="10"/>
  <c r="J14" i="10"/>
  <c r="I14" i="10"/>
  <c r="H14" i="10"/>
  <c r="G14" i="10"/>
  <c r="F14" i="10"/>
  <c r="E14" i="10"/>
  <c r="D14" i="10"/>
  <c r="M13" i="10"/>
  <c r="L13" i="10"/>
  <c r="K13" i="10"/>
  <c r="J13" i="10"/>
  <c r="I13" i="10"/>
  <c r="H13" i="10"/>
  <c r="G13" i="10"/>
  <c r="F13" i="10"/>
  <c r="E13" i="10"/>
  <c r="D13" i="10"/>
  <c r="M11" i="10"/>
  <c r="L11" i="10"/>
  <c r="K11" i="10"/>
  <c r="J11" i="10"/>
  <c r="I11" i="10"/>
  <c r="H11" i="10"/>
  <c r="G11" i="10"/>
  <c r="F11" i="10"/>
  <c r="E11" i="10"/>
  <c r="D11" i="10"/>
  <c r="M10" i="10"/>
  <c r="L10" i="10"/>
  <c r="K10" i="10"/>
  <c r="J10" i="10"/>
  <c r="I10" i="10"/>
  <c r="H10" i="10"/>
  <c r="G10" i="10"/>
  <c r="F10" i="10"/>
  <c r="E10" i="10"/>
  <c r="D10" i="10"/>
  <c r="M9" i="10"/>
  <c r="L9" i="10"/>
  <c r="K9" i="10"/>
  <c r="J9" i="10"/>
  <c r="I9" i="10"/>
  <c r="H9" i="10"/>
  <c r="G9" i="10"/>
  <c r="F9" i="10"/>
  <c r="E9" i="10"/>
  <c r="D9" i="10"/>
  <c r="M8" i="10"/>
  <c r="L8" i="10"/>
  <c r="K8" i="10"/>
  <c r="J8" i="10"/>
  <c r="I8" i="10"/>
  <c r="H8" i="10"/>
  <c r="G8" i="10"/>
  <c r="F8" i="10"/>
  <c r="E8" i="10"/>
  <c r="D8" i="10"/>
  <c r="M7" i="10"/>
  <c r="L7" i="10"/>
  <c r="K7" i="10"/>
  <c r="J7" i="10"/>
  <c r="I7" i="10"/>
  <c r="H7" i="10"/>
  <c r="G7" i="10"/>
  <c r="F7" i="10"/>
  <c r="E7" i="10"/>
  <c r="D7" i="10"/>
  <c r="M5" i="10"/>
  <c r="L5" i="10"/>
  <c r="K5" i="10"/>
  <c r="J5" i="10"/>
  <c r="I5" i="10"/>
  <c r="H5" i="10"/>
  <c r="G5" i="10"/>
  <c r="F5" i="10"/>
  <c r="E5" i="10"/>
  <c r="D5" i="10"/>
</calcChain>
</file>

<file path=xl/sharedStrings.xml><?xml version="1.0" encoding="utf-8"?>
<sst xmlns="http://schemas.openxmlformats.org/spreadsheetml/2006/main" count="97" uniqueCount="55">
  <si>
    <t>z</t>
    <phoneticPr fontId="1"/>
  </si>
  <si>
    <t>標準正規分布表</t>
    <rPh sb="0" eb="7">
      <t>ヒョウジュンセイキブンプヒョウ</t>
    </rPh>
    <phoneticPr fontId="1"/>
  </si>
  <si>
    <t>t分布表</t>
    <rPh sb="1" eb="3">
      <t>ブンプ</t>
    </rPh>
    <rPh sb="3" eb="4">
      <t>ヒョウ</t>
    </rPh>
    <phoneticPr fontId="1"/>
  </si>
  <si>
    <t>a</t>
    <phoneticPr fontId="1"/>
  </si>
  <si>
    <t>ν</t>
    <phoneticPr fontId="1"/>
  </si>
  <si>
    <t>∞</t>
    <phoneticPr fontId="1"/>
  </si>
  <si>
    <t>カイ二乗分布表</t>
    <rPh sb="2" eb="4">
      <t>ジジョウ</t>
    </rPh>
    <rPh sb="4" eb="6">
      <t>ブンプ</t>
    </rPh>
    <rPh sb="6" eb="7">
      <t>ヒョウ</t>
    </rPh>
    <phoneticPr fontId="1"/>
  </si>
  <si>
    <r>
      <t>ある工場で製造されるネジの長さは正規分布に従い，母分散は既知でσ</t>
    </r>
    <r>
      <rPr>
        <vertAlign val="superscript"/>
        <sz val="11"/>
        <color theme="1"/>
        <rFont val="游ゴシック"/>
        <family val="3"/>
        <charset val="128"/>
        <scheme val="minor"/>
      </rPr>
      <t>2</t>
    </r>
    <r>
      <rPr>
        <sz val="11"/>
        <color theme="1"/>
        <rFont val="游ゴシック"/>
        <family val="2"/>
        <charset val="128"/>
        <scheme val="minor"/>
      </rPr>
      <t>=0.25である．</t>
    </r>
    <phoneticPr fontId="1"/>
  </si>
  <si>
    <t>10本を無作為抽出したところ，平均は5.12cmであった．</t>
    <phoneticPr fontId="1"/>
  </si>
  <si>
    <t>95%信頼区間における母平均の下限値と上限値を求めよ．</t>
    <phoneticPr fontId="1"/>
  </si>
  <si>
    <t>標本数</t>
    <rPh sb="0" eb="3">
      <t>ヒョウホンスウ</t>
    </rPh>
    <phoneticPr fontId="1"/>
  </si>
  <si>
    <t>n</t>
    <phoneticPr fontId="1"/>
  </si>
  <si>
    <t>標本平均</t>
    <rPh sb="0" eb="4">
      <t>ヒョウホンヘイキン</t>
    </rPh>
    <phoneticPr fontId="1"/>
  </si>
  <si>
    <r>
      <t>σ</t>
    </r>
    <r>
      <rPr>
        <vertAlign val="superscript"/>
        <sz val="11"/>
        <color theme="1"/>
        <rFont val="ＭＳ Ｐ明朝"/>
        <family val="1"/>
        <charset val="128"/>
      </rPr>
      <t>2</t>
    </r>
    <phoneticPr fontId="1"/>
  </si>
  <si>
    <t>母分散</t>
    <rPh sb="0" eb="1">
      <t>ボ</t>
    </rPh>
    <rPh sb="1" eb="3">
      <t>ブンサン</t>
    </rPh>
    <phoneticPr fontId="1"/>
  </si>
  <si>
    <r>
      <t>X</t>
    </r>
    <r>
      <rPr>
        <vertAlign val="subscript"/>
        <sz val="11"/>
        <color theme="1"/>
        <rFont val="Times New Roman"/>
        <family val="1"/>
      </rPr>
      <t>_bar</t>
    </r>
    <phoneticPr fontId="1"/>
  </si>
  <si>
    <t>母分散が</t>
    <rPh sb="0" eb="3">
      <t>ボブンサン</t>
    </rPh>
    <phoneticPr fontId="1"/>
  </si>
  <si>
    <t>のため</t>
    <phoneticPr fontId="1"/>
  </si>
  <si>
    <t>分布を使う</t>
    <rPh sb="3" eb="4">
      <t>ツカ</t>
    </rPh>
    <phoneticPr fontId="1"/>
  </si>
  <si>
    <t>パーセント点</t>
    <rPh sb="5" eb="6">
      <t>テン</t>
    </rPh>
    <phoneticPr fontId="1"/>
  </si>
  <si>
    <t>標準誤差</t>
    <rPh sb="0" eb="4">
      <t>ヒョウジュンゴサ</t>
    </rPh>
    <phoneticPr fontId="1"/>
  </si>
  <si>
    <r>
      <rPr>
        <sz val="11"/>
        <color theme="1"/>
        <rFont val="BIZ UDゴシック"/>
        <family val="3"/>
        <charset val="128"/>
      </rPr>
      <t>√</t>
    </r>
    <r>
      <rPr>
        <sz val="11"/>
        <color theme="1"/>
        <rFont val="Times New Roman"/>
        <family val="1"/>
      </rPr>
      <t>σ</t>
    </r>
    <r>
      <rPr>
        <vertAlign val="super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>/n</t>
    </r>
    <phoneticPr fontId="1"/>
  </si>
  <si>
    <t>±の後の部分</t>
    <rPh sb="2" eb="3">
      <t>アト</t>
    </rPh>
    <rPh sb="4" eb="6">
      <t>ブブン</t>
    </rPh>
    <phoneticPr fontId="1"/>
  </si>
  <si>
    <t>下限値</t>
    <rPh sb="0" eb="3">
      <t>カゲンチ</t>
    </rPh>
    <phoneticPr fontId="1"/>
  </si>
  <si>
    <t>上限値</t>
    <rPh sb="0" eb="3">
      <t>ジョウゲンチ</t>
    </rPh>
    <phoneticPr fontId="1"/>
  </si>
  <si>
    <t>ある学級の生徒12人のテスト得点は表の通りであった．</t>
    <phoneticPr fontId="1"/>
  </si>
  <si>
    <t>母平均の95%信頼区間を求めよ．</t>
    <phoneticPr fontId="1"/>
  </si>
  <si>
    <t>点数</t>
    <rPh sb="0" eb="2">
      <t>テンスウ</t>
    </rPh>
    <phoneticPr fontId="1"/>
  </si>
  <si>
    <t>学生ID</t>
    <rPh sb="0" eb="2">
      <t>ガクセイ</t>
    </rPh>
    <phoneticPr fontId="1"/>
  </si>
  <si>
    <t>標本不偏分散</t>
    <rPh sb="0" eb="6">
      <t>ヒョウホンフヘンブンサン</t>
    </rPh>
    <phoneticPr fontId="1"/>
  </si>
  <si>
    <r>
      <t>σ</t>
    </r>
    <r>
      <rPr>
        <vertAlign val="superscript"/>
        <sz val="11"/>
        <color theme="1"/>
        <rFont val="ＭＳ Ｐ明朝"/>
        <family val="1"/>
        <charset val="128"/>
      </rPr>
      <t>2</t>
    </r>
    <r>
      <rPr>
        <vertAlign val="subscript"/>
        <sz val="11"/>
        <color theme="1"/>
        <rFont val="ＭＳ Ｐ明朝"/>
        <family val="1"/>
        <charset val="128"/>
      </rPr>
      <t>_hat</t>
    </r>
    <phoneticPr fontId="1"/>
  </si>
  <si>
    <t>t</t>
    <phoneticPr fontId="1"/>
  </si>
  <si>
    <t>偏差二乗和</t>
    <rPh sb="0" eb="5">
      <t>ヘンサジジョウワ</t>
    </rPh>
    <phoneticPr fontId="1"/>
  </si>
  <si>
    <r>
      <t>Σ</t>
    </r>
    <r>
      <rPr>
        <sz val="11"/>
        <color theme="1"/>
        <rFont val="Yu Gothic"/>
        <family val="1"/>
        <charset val="128"/>
      </rPr>
      <t>(X</t>
    </r>
    <r>
      <rPr>
        <vertAlign val="subscript"/>
        <sz val="11"/>
        <color theme="1"/>
        <rFont val="Yu Gothic"/>
        <family val="3"/>
        <charset val="128"/>
      </rPr>
      <t>i</t>
    </r>
    <r>
      <rPr>
        <sz val="11"/>
        <color theme="1"/>
        <rFont val="Yu Gothic"/>
        <family val="1"/>
        <charset val="128"/>
      </rPr>
      <t>-X</t>
    </r>
    <r>
      <rPr>
        <vertAlign val="subscript"/>
        <sz val="11"/>
        <color theme="1"/>
        <rFont val="Yu Gothic"/>
        <family val="3"/>
        <charset val="128"/>
      </rPr>
      <t>_bar</t>
    </r>
    <r>
      <rPr>
        <sz val="11"/>
        <color theme="1"/>
        <rFont val="Yu Gothic"/>
        <family val="1"/>
        <charset val="128"/>
      </rPr>
      <t>)</t>
    </r>
    <phoneticPr fontId="1"/>
  </si>
  <si>
    <t>偏差</t>
    <rPh sb="0" eb="2">
      <t>ヘンサ</t>
    </rPh>
    <phoneticPr fontId="1"/>
  </si>
  <si>
    <t>偏差二乗</t>
    <rPh sb="0" eb="4">
      <t>ヘンサジジョウ</t>
    </rPh>
    <phoneticPr fontId="1"/>
  </si>
  <si>
    <t>自由度</t>
    <rPh sb="0" eb="3">
      <t>ジユウド</t>
    </rPh>
    <phoneticPr fontId="1"/>
  </si>
  <si>
    <t>ν=n-1</t>
    <phoneticPr fontId="1"/>
  </si>
  <si>
    <r>
      <rPr>
        <sz val="11"/>
        <color theme="1"/>
        <rFont val="BIZ UDゴシック"/>
        <family val="3"/>
        <charset val="128"/>
      </rPr>
      <t>√</t>
    </r>
    <r>
      <rPr>
        <sz val="11"/>
        <color theme="1"/>
        <rFont val="Times New Roman"/>
        <family val="1"/>
      </rPr>
      <t>σ</t>
    </r>
    <r>
      <rPr>
        <vertAlign val="superscript"/>
        <sz val="11"/>
        <color theme="1"/>
        <rFont val="Times New Roman"/>
        <family val="1"/>
      </rPr>
      <t>2</t>
    </r>
    <r>
      <rPr>
        <vertAlign val="subscript"/>
        <sz val="11"/>
        <color theme="1"/>
        <rFont val="Times New Roman"/>
        <family val="1"/>
      </rPr>
      <t>_hat</t>
    </r>
    <r>
      <rPr>
        <sz val="11"/>
        <color theme="1"/>
        <rFont val="Times New Roman"/>
        <family val="1"/>
      </rPr>
      <t>/n</t>
    </r>
    <phoneticPr fontId="1"/>
  </si>
  <si>
    <t>母分散の95%信頼区間を求めよ．</t>
    <phoneticPr fontId="1"/>
  </si>
  <si>
    <t>あるバッテリーの寿命について，標本20個を測定したところ標本不偏分散は36であった．</t>
    <phoneticPr fontId="1"/>
  </si>
  <si>
    <t>2.5%点</t>
    <rPh sb="4" eb="5">
      <t>テン</t>
    </rPh>
    <phoneticPr fontId="1"/>
  </si>
  <si>
    <t>97.5%点</t>
    <rPh sb="5" eb="6">
      <t>テン</t>
    </rPh>
    <phoneticPr fontId="1"/>
  </si>
  <si>
    <r>
      <t>σ</t>
    </r>
    <r>
      <rPr>
        <vertAlign val="superscript"/>
        <sz val="11"/>
        <rFont val="Times New Roman"/>
        <family val="1"/>
      </rPr>
      <t>2</t>
    </r>
    <r>
      <rPr>
        <vertAlign val="subscript"/>
        <sz val="11"/>
        <rFont val="Times New Roman"/>
        <family val="1"/>
      </rPr>
      <t>_hat</t>
    </r>
    <phoneticPr fontId="1"/>
  </si>
  <si>
    <r>
      <t>Σ(X</t>
    </r>
    <r>
      <rPr>
        <vertAlign val="subscript"/>
        <sz val="11"/>
        <rFont val="Times New Roman"/>
        <family val="1"/>
      </rPr>
      <t>i</t>
    </r>
    <r>
      <rPr>
        <sz val="11"/>
        <rFont val="Times New Roman"/>
        <family val="1"/>
      </rPr>
      <t>-X</t>
    </r>
    <r>
      <rPr>
        <vertAlign val="subscript"/>
        <sz val="11"/>
        <rFont val="Times New Roman"/>
        <family val="1"/>
      </rPr>
      <t>_bar</t>
    </r>
    <r>
      <rPr>
        <sz val="11"/>
        <rFont val="Times New Roman"/>
        <family val="1"/>
      </rPr>
      <t>)</t>
    </r>
    <phoneticPr fontId="1"/>
  </si>
  <si>
    <r>
      <t>χ</t>
    </r>
    <r>
      <rPr>
        <vertAlign val="superscript"/>
        <sz val="11"/>
        <rFont val="Times New Roman"/>
        <family val="1"/>
      </rPr>
      <t>2</t>
    </r>
    <r>
      <rPr>
        <vertAlign val="subscript"/>
        <sz val="11"/>
        <rFont val="Times New Roman"/>
        <family val="1"/>
      </rPr>
      <t>0.025</t>
    </r>
    <r>
      <rPr>
        <sz val="11"/>
        <rFont val="Times New Roman"/>
        <family val="1"/>
      </rPr>
      <t>(ν)</t>
    </r>
    <phoneticPr fontId="1"/>
  </si>
  <si>
    <r>
      <t>χ</t>
    </r>
    <r>
      <rPr>
        <vertAlign val="superscript"/>
        <sz val="11"/>
        <rFont val="Times New Roman"/>
        <family val="1"/>
      </rPr>
      <t>2</t>
    </r>
    <r>
      <rPr>
        <vertAlign val="subscript"/>
        <sz val="11"/>
        <rFont val="Times New Roman"/>
        <family val="1"/>
      </rPr>
      <t>0.975</t>
    </r>
    <r>
      <rPr>
        <sz val="11"/>
        <rFont val="Times New Roman"/>
        <family val="1"/>
      </rPr>
      <t>(ν)</t>
    </r>
    <phoneticPr fontId="1"/>
  </si>
  <si>
    <t>ある農家のトマト1箱の重量を8箱測定したところ，表の結果を得た．</t>
    <phoneticPr fontId="1"/>
  </si>
  <si>
    <t>母平均の99%信頼区間を求めよ．</t>
    <phoneticPr fontId="1"/>
  </si>
  <si>
    <t>重量</t>
    <rPh sb="0" eb="2">
      <t>ジュウリョウ</t>
    </rPh>
    <phoneticPr fontId="1"/>
  </si>
  <si>
    <t>箱 No.</t>
    <rPh sb="0" eb="1">
      <t>ハコ</t>
    </rPh>
    <phoneticPr fontId="1"/>
  </si>
  <si>
    <t>母平均の下限値</t>
    <rPh sb="0" eb="3">
      <t>ボヘイキン</t>
    </rPh>
    <rPh sb="4" eb="7">
      <t>カゲンチ</t>
    </rPh>
    <phoneticPr fontId="1"/>
  </si>
  <si>
    <t>母平均の上限値</t>
    <rPh sb="0" eb="3">
      <t>ボヘイキン</t>
    </rPh>
    <rPh sb="4" eb="7">
      <t>ジョウゲンチ</t>
    </rPh>
    <phoneticPr fontId="1"/>
  </si>
  <si>
    <t>母分散の下限値</t>
    <rPh sb="0" eb="3">
      <t>ボブンサン</t>
    </rPh>
    <rPh sb="4" eb="7">
      <t>カゲンチ</t>
    </rPh>
    <phoneticPr fontId="1"/>
  </si>
  <si>
    <t>母分散の上限値</t>
    <rPh sb="0" eb="3">
      <t>ボブンサン</t>
    </rPh>
    <rPh sb="4" eb="7">
      <t>ジョウゲンチ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</si>
</sst>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0.0"/>
    <numFmt numFmtId="177" formatCode="0.000"/>
    <numFmt numFmtId="178" formatCode="0.0000"/>
    <numFmt numFmtId="179" formatCode="0.00000"/>
  </numFmts>
  <fonts count="2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color theme="1"/>
      <name val="Times New Roman"/>
      <family val="1"/>
    </font>
    <font>
      <sz val="11"/>
      <color theme="1"/>
      <name val="BIZ UDゴシック"/>
      <family val="3"/>
      <charset val="128"/>
    </font>
    <font>
      <sz val="11"/>
      <color theme="1"/>
      <name val="ＭＳ Ｐ明朝"/>
      <family val="1"/>
      <charset val="128"/>
    </font>
    <font>
      <sz val="11"/>
      <color rgb="FFFF0000"/>
      <name val="游ゴシック"/>
      <family val="2"/>
      <charset val="128"/>
      <scheme val="minor"/>
    </font>
    <font>
      <vertAlign val="superscript"/>
      <sz val="11"/>
      <color theme="1"/>
      <name val="游ゴシック"/>
      <family val="3"/>
      <charset val="128"/>
      <scheme val="minor"/>
    </font>
    <font>
      <sz val="11"/>
      <color theme="1"/>
      <name val="Times New Roman"/>
      <family val="1"/>
      <charset val="161"/>
    </font>
    <font>
      <vertAlign val="superscript"/>
      <sz val="11"/>
      <color theme="1"/>
      <name val="ＭＳ Ｐ明朝"/>
      <family val="1"/>
      <charset val="128"/>
    </font>
    <font>
      <vertAlign val="subscript"/>
      <sz val="11"/>
      <color theme="1"/>
      <name val="Times New Roman"/>
      <family val="1"/>
    </font>
    <font>
      <vertAlign val="superscript"/>
      <sz val="11"/>
      <color theme="1"/>
      <name val="Times New Roman"/>
      <family val="1"/>
    </font>
    <font>
      <sz val="11"/>
      <color theme="1"/>
      <name val="Times New Roman"/>
      <family val="3"/>
      <charset val="128"/>
    </font>
    <font>
      <sz val="11"/>
      <color theme="1"/>
      <name val="BIZ UDPゴシック"/>
      <family val="3"/>
      <charset val="128"/>
    </font>
    <font>
      <sz val="11"/>
      <name val="游ゴシック"/>
      <family val="2"/>
      <charset val="128"/>
      <scheme val="minor"/>
    </font>
    <font>
      <vertAlign val="subscript"/>
      <sz val="11"/>
      <color theme="1"/>
      <name val="ＭＳ Ｐ明朝"/>
      <family val="1"/>
      <charset val="128"/>
    </font>
    <font>
      <sz val="11"/>
      <color theme="1"/>
      <name val="Yu Gothic"/>
      <family val="1"/>
      <charset val="128"/>
    </font>
    <font>
      <vertAlign val="subscript"/>
      <sz val="11"/>
      <color theme="1"/>
      <name val="Yu Gothic"/>
      <family val="3"/>
      <charset val="128"/>
    </font>
    <font>
      <sz val="11"/>
      <name val="Times New Roman"/>
      <family val="1"/>
    </font>
    <font>
      <vertAlign val="superscript"/>
      <sz val="11"/>
      <name val="Times New Roman"/>
      <family val="1"/>
    </font>
    <font>
      <vertAlign val="subscript"/>
      <sz val="11"/>
      <name val="Times New Roman"/>
      <family val="1"/>
    </font>
    <font>
      <sz val="11"/>
      <name val="BIZ UDPゴシック"/>
      <family val="3"/>
      <charset val="128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50">
    <border>
      <left/>
      <right/>
      <top/>
      <bottom/>
      <diagonal/>
    </border>
    <border>
      <left style="thin">
        <color auto="1"/>
      </left>
      <right style="thin">
        <color auto="1"/>
      </right>
      <top style="thick">
        <color auto="1"/>
      </top>
      <bottom/>
      <diagonal/>
    </border>
    <border>
      <left style="thin">
        <color auto="1"/>
      </left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ck">
        <color auto="1"/>
      </right>
      <top/>
      <bottom/>
      <diagonal/>
    </border>
    <border>
      <left style="thick">
        <color auto="1"/>
      </left>
      <right style="thin">
        <color auto="1"/>
      </right>
      <top/>
      <bottom style="thick">
        <color auto="1"/>
      </bottom>
      <diagonal/>
    </border>
    <border>
      <left style="thin">
        <color auto="1"/>
      </left>
      <right style="thin">
        <color auto="1"/>
      </right>
      <top/>
      <bottom style="thick">
        <color auto="1"/>
      </bottom>
      <diagonal/>
    </border>
    <border>
      <left style="thin">
        <color auto="1"/>
      </left>
      <right style="thick">
        <color auto="1"/>
      </right>
      <top/>
      <bottom style="thick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ck">
        <color auto="1"/>
      </bottom>
      <diagonal/>
    </border>
    <border>
      <left style="thick">
        <color auto="1"/>
      </left>
      <right/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ck">
        <color auto="1"/>
      </right>
      <top/>
      <bottom style="thin">
        <color auto="1"/>
      </bottom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n">
        <color auto="1"/>
      </right>
      <top style="thick">
        <color auto="1"/>
      </top>
      <bottom/>
      <diagonal/>
    </border>
    <border>
      <left style="thick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/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/>
      <right style="thick">
        <color auto="1"/>
      </right>
      <top style="thick">
        <color auto="1"/>
      </top>
      <bottom style="thick">
        <color auto="1"/>
      </bottom>
      <diagonal/>
    </border>
    <border>
      <left style="thick">
        <color auto="1"/>
      </left>
      <right style="dotted">
        <color auto="1"/>
      </right>
      <top style="thick">
        <color auto="1"/>
      </top>
      <bottom style="thin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thin">
        <color auto="1"/>
      </bottom>
      <diagonal/>
    </border>
    <border>
      <left style="dotted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dotted">
        <color auto="1"/>
      </right>
      <top style="thin">
        <color auto="1"/>
      </top>
      <bottom style="thin">
        <color auto="1"/>
      </bottom>
      <diagonal/>
    </border>
    <border>
      <left style="dotted">
        <color auto="1"/>
      </left>
      <right style="dotted">
        <color auto="1"/>
      </right>
      <top style="thin">
        <color auto="1"/>
      </top>
      <bottom style="thin">
        <color auto="1"/>
      </bottom>
      <diagonal/>
    </border>
    <border>
      <left style="dotted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dotted">
        <color auto="1"/>
      </right>
      <top style="thin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thin">
        <color auto="1"/>
      </top>
      <bottom style="thick">
        <color auto="1"/>
      </bottom>
      <diagonal/>
    </border>
    <border>
      <left style="dotted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 style="thick">
        <color auto="1"/>
      </left>
      <right style="dotted">
        <color auto="1"/>
      </right>
      <top/>
      <bottom style="thin">
        <color auto="1"/>
      </bottom>
      <diagonal/>
    </border>
    <border>
      <left style="dotted">
        <color auto="1"/>
      </left>
      <right style="dotted">
        <color auto="1"/>
      </right>
      <top/>
      <bottom style="thin">
        <color auto="1"/>
      </bottom>
      <diagonal/>
    </border>
    <border>
      <left style="dotted">
        <color auto="1"/>
      </left>
      <right style="thick">
        <color auto="1"/>
      </right>
      <top/>
      <bottom style="thin">
        <color auto="1"/>
      </bottom>
      <diagonal/>
    </border>
    <border>
      <left style="thick">
        <color auto="1"/>
      </left>
      <right style="dotted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ck">
        <color auto="1"/>
      </left>
      <right/>
      <top style="thin">
        <color auto="1"/>
      </top>
      <bottom style="thick">
        <color auto="1"/>
      </bottom>
      <diagonal/>
    </border>
    <border>
      <left/>
      <right style="dotted">
        <color auto="1"/>
      </right>
      <top style="thin">
        <color auto="1"/>
      </top>
      <bottom style="thick">
        <color auto="1"/>
      </bottom>
      <diagonal/>
    </border>
    <border>
      <left style="thick">
        <color auto="1"/>
      </left>
      <right/>
      <top style="thick">
        <color auto="1"/>
      </top>
      <bottom style="thin">
        <color auto="1"/>
      </bottom>
      <diagonal/>
    </border>
    <border>
      <left/>
      <right style="dotted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dotted">
        <color auto="1"/>
      </right>
      <top style="thick">
        <color auto="1"/>
      </top>
      <bottom style="double">
        <color auto="1"/>
      </bottom>
      <diagonal/>
    </border>
    <border>
      <left style="dotted">
        <color auto="1"/>
      </left>
      <right style="thick">
        <color auto="1"/>
      </right>
      <top style="thick">
        <color auto="1"/>
      </top>
      <bottom style="double">
        <color auto="1"/>
      </bottom>
      <diagonal/>
    </border>
    <border>
      <left style="thick">
        <color auto="1"/>
      </left>
      <right style="dotted">
        <color auto="1"/>
      </right>
      <top style="thin">
        <color auto="1"/>
      </top>
      <bottom/>
      <diagonal/>
    </border>
    <border>
      <left style="dotted">
        <color auto="1"/>
      </left>
      <right style="dotted">
        <color auto="1"/>
      </right>
      <top style="thin">
        <color auto="1"/>
      </top>
      <bottom/>
      <diagonal/>
    </border>
    <border>
      <left style="dotted">
        <color auto="1"/>
      </left>
      <right style="thick">
        <color auto="1"/>
      </right>
      <top style="thin">
        <color auto="1"/>
      </top>
      <bottom/>
      <diagonal/>
    </border>
  </borders>
  <cellStyleXfs count="1">
    <xf numFmtId="0" fontId="0" fillId="0" borderId="0">
      <alignment vertical="center"/>
    </xf>
  </cellStyleXfs>
  <cellXfs count="111">
    <xf numFmtId="0" fontId="0" fillId="0" borderId="0" xfId="0">
      <alignment vertical="center"/>
    </xf>
    <xf numFmtId="0" fontId="3" fillId="0" borderId="0" xfId="0" applyFont="1">
      <alignment vertical="center"/>
    </xf>
    <xf numFmtId="176" fontId="3" fillId="2" borderId="3" xfId="0" applyNumberFormat="1" applyFont="1" applyFill="1" applyBorder="1" applyAlignment="1">
      <alignment horizontal="center" vertical="center"/>
    </xf>
    <xf numFmtId="179" fontId="3" fillId="0" borderId="4" xfId="0" applyNumberFormat="1" applyFont="1" applyBorder="1">
      <alignment vertical="center"/>
    </xf>
    <xf numFmtId="179" fontId="3" fillId="0" borderId="5" xfId="0" applyNumberFormat="1" applyFont="1" applyBorder="1">
      <alignment vertical="center"/>
    </xf>
    <xf numFmtId="0" fontId="3" fillId="0" borderId="4" xfId="0" applyFont="1" applyBorder="1">
      <alignment vertical="center"/>
    </xf>
    <xf numFmtId="0" fontId="3" fillId="0" borderId="5" xfId="0" applyFont="1" applyBorder="1">
      <alignment vertical="center"/>
    </xf>
    <xf numFmtId="176" fontId="3" fillId="2" borderId="6" xfId="0" applyNumberFormat="1" applyFont="1" applyFill="1" applyBorder="1" applyAlignment="1">
      <alignment horizontal="center" vertical="center"/>
    </xf>
    <xf numFmtId="179" fontId="3" fillId="0" borderId="7" xfId="0" applyNumberFormat="1" applyFont="1" applyBorder="1">
      <alignment vertical="center"/>
    </xf>
    <xf numFmtId="179" fontId="3" fillId="0" borderId="8" xfId="0" applyNumberFormat="1" applyFont="1" applyBorder="1">
      <alignment vertical="center"/>
    </xf>
    <xf numFmtId="0" fontId="2" fillId="2" borderId="9" xfId="0" applyFont="1" applyFill="1" applyBorder="1" applyAlignment="1">
      <alignment horizontal="center" vertical="center"/>
    </xf>
    <xf numFmtId="2" fontId="3" fillId="2" borderId="10" xfId="0" applyNumberFormat="1" applyFont="1" applyFill="1" applyBorder="1" applyAlignment="1">
      <alignment horizontal="center" vertical="center"/>
    </xf>
    <xf numFmtId="2" fontId="3" fillId="2" borderId="11" xfId="0" applyNumberFormat="1" applyFont="1" applyFill="1" applyBorder="1" applyAlignment="1">
      <alignment horizontal="center" vertical="center"/>
    </xf>
    <xf numFmtId="0" fontId="2" fillId="2" borderId="18" xfId="0" applyFont="1" applyFill="1" applyBorder="1" applyAlignment="1">
      <alignment horizontal="center" vertical="center"/>
    </xf>
    <xf numFmtId="0" fontId="2" fillId="2" borderId="19" xfId="0" applyFont="1" applyFill="1" applyBorder="1" applyAlignment="1">
      <alignment horizontal="center" vertical="center"/>
    </xf>
    <xf numFmtId="0" fontId="4" fillId="2" borderId="20" xfId="0" applyFont="1" applyFill="1" applyBorder="1" applyAlignment="1">
      <alignment horizontal="center" vertical="center"/>
    </xf>
    <xf numFmtId="0" fontId="2" fillId="2" borderId="21" xfId="0" applyFont="1" applyFill="1" applyBorder="1" applyAlignment="1">
      <alignment horizontal="center" vertical="center"/>
    </xf>
    <xf numFmtId="178" fontId="3" fillId="0" borderId="22" xfId="0" applyNumberFormat="1" applyFont="1" applyBorder="1">
      <alignment vertical="center"/>
    </xf>
    <xf numFmtId="178" fontId="3" fillId="0" borderId="4" xfId="0" applyNumberFormat="1" applyFont="1" applyBorder="1">
      <alignment vertical="center"/>
    </xf>
    <xf numFmtId="178" fontId="3" fillId="0" borderId="5" xfId="0" applyNumberFormat="1" applyFont="1" applyBorder="1">
      <alignment vertical="center"/>
    </xf>
    <xf numFmtId="178" fontId="3" fillId="0" borderId="7" xfId="0" applyNumberFormat="1" applyFont="1" applyBorder="1">
      <alignment vertical="center"/>
    </xf>
    <xf numFmtId="178" fontId="3" fillId="0" borderId="8" xfId="0" applyNumberFormat="1" applyFont="1" applyBorder="1">
      <alignment vertical="center"/>
    </xf>
    <xf numFmtId="0" fontId="2" fillId="0" borderId="0" xfId="0" applyFont="1" applyAlignment="1">
      <alignment horizontal="center" vertical="center"/>
    </xf>
    <xf numFmtId="0" fontId="5" fillId="0" borderId="24" xfId="0" applyFont="1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2" fillId="0" borderId="27" xfId="0" applyFont="1" applyBorder="1" applyAlignment="1">
      <alignment horizontal="center" vertical="center"/>
    </xf>
    <xf numFmtId="0" fontId="0" fillId="0" borderId="29" xfId="0" applyBorder="1">
      <alignment vertical="center"/>
    </xf>
    <xf numFmtId="0" fontId="2" fillId="0" borderId="30" xfId="0" applyFont="1" applyBorder="1" applyAlignment="1">
      <alignment horizontal="center" vertical="center"/>
    </xf>
    <xf numFmtId="0" fontId="0" fillId="0" borderId="31" xfId="0" applyBorder="1">
      <alignment vertical="center"/>
    </xf>
    <xf numFmtId="0" fontId="0" fillId="0" borderId="32" xfId="0" applyBorder="1">
      <alignment vertical="center"/>
    </xf>
    <xf numFmtId="0" fontId="7" fillId="0" borderId="33" xfId="0" applyFont="1" applyBorder="1" applyAlignment="1">
      <alignment horizontal="center" vertical="center"/>
    </xf>
    <xf numFmtId="0" fontId="0" fillId="0" borderId="34" xfId="0" applyBorder="1">
      <alignment vertical="center"/>
    </xf>
    <xf numFmtId="0" fontId="0" fillId="0" borderId="0" xfId="0" applyAlignment="1">
      <alignment vertical="center" shrinkToFit="1"/>
    </xf>
    <xf numFmtId="0" fontId="0" fillId="0" borderId="26" xfId="0" applyBorder="1" applyAlignment="1">
      <alignment vertical="center" shrinkToFit="1"/>
    </xf>
    <xf numFmtId="0" fontId="0" fillId="0" borderId="29" xfId="0" applyBorder="1" applyAlignment="1">
      <alignment vertical="center" shrinkToFit="1"/>
    </xf>
    <xf numFmtId="0" fontId="0" fillId="0" borderId="32" xfId="0" applyBorder="1" applyAlignment="1">
      <alignment vertical="center" shrinkToFit="1"/>
    </xf>
    <xf numFmtId="0" fontId="0" fillId="0" borderId="35" xfId="0" applyBorder="1" applyAlignment="1">
      <alignment vertical="center" shrinkToFit="1"/>
    </xf>
    <xf numFmtId="0" fontId="0" fillId="0" borderId="37" xfId="0" applyBorder="1">
      <alignment vertical="center"/>
    </xf>
    <xf numFmtId="0" fontId="0" fillId="0" borderId="38" xfId="0" applyBorder="1" applyAlignment="1">
      <alignment vertical="center" shrinkToFit="1"/>
    </xf>
    <xf numFmtId="0" fontId="2" fillId="0" borderId="39" xfId="0" applyFont="1" applyBorder="1" applyAlignment="1">
      <alignment horizontal="center" vertical="center"/>
    </xf>
    <xf numFmtId="0" fontId="11" fillId="0" borderId="36" xfId="0" applyFont="1" applyBorder="1" applyAlignment="1">
      <alignment horizontal="center" vertical="center"/>
    </xf>
    <xf numFmtId="0" fontId="13" fillId="0" borderId="28" xfId="0" applyFont="1" applyBorder="1">
      <alignment vertical="center"/>
    </xf>
    <xf numFmtId="0" fontId="13" fillId="0" borderId="31" xfId="0" applyFont="1" applyBorder="1">
      <alignment vertical="center"/>
    </xf>
    <xf numFmtId="0" fontId="13" fillId="0" borderId="34" xfId="0" applyFont="1" applyBorder="1">
      <alignment vertical="center"/>
    </xf>
    <xf numFmtId="0" fontId="13" fillId="0" borderId="40" xfId="0" applyFont="1" applyBorder="1">
      <alignment vertical="center"/>
    </xf>
    <xf numFmtId="0" fontId="13" fillId="0" borderId="37" xfId="0" applyFont="1" applyBorder="1">
      <alignment vertical="center"/>
    </xf>
    <xf numFmtId="0" fontId="0" fillId="0" borderId="35" xfId="0" applyBorder="1">
      <alignment vertical="center"/>
    </xf>
    <xf numFmtId="0" fontId="0" fillId="0" borderId="45" xfId="0" applyBorder="1" applyAlignment="1">
      <alignment horizontal="center" vertical="center"/>
    </xf>
    <xf numFmtId="0" fontId="0" fillId="0" borderId="46" xfId="0" applyBorder="1" applyAlignment="1">
      <alignment horizontal="center" vertical="center"/>
    </xf>
    <xf numFmtId="0" fontId="0" fillId="0" borderId="47" xfId="0" applyBorder="1" applyAlignment="1">
      <alignment vertical="center" shrinkToFit="1"/>
    </xf>
    <xf numFmtId="0" fontId="2" fillId="0" borderId="48" xfId="0" applyFont="1" applyBorder="1" applyAlignment="1">
      <alignment horizontal="center" vertical="center"/>
    </xf>
    <xf numFmtId="0" fontId="7" fillId="0" borderId="48" xfId="0" applyFont="1" applyBorder="1" applyAlignment="1">
      <alignment horizontal="center" vertical="center"/>
    </xf>
    <xf numFmtId="0" fontId="13" fillId="0" borderId="35" xfId="0" applyFont="1" applyBorder="1">
      <alignment vertical="center"/>
    </xf>
    <xf numFmtId="0" fontId="13" fillId="0" borderId="29" xfId="0" applyFont="1" applyBorder="1">
      <alignment vertical="center"/>
    </xf>
    <xf numFmtId="0" fontId="13" fillId="0" borderId="32" xfId="0" applyFont="1" applyBorder="1">
      <alignment vertical="center"/>
    </xf>
    <xf numFmtId="0" fontId="13" fillId="0" borderId="0" xfId="0" applyFont="1">
      <alignment vertical="center"/>
    </xf>
    <xf numFmtId="0" fontId="13" fillId="0" borderId="49" xfId="0" applyFont="1" applyBorder="1">
      <alignment vertical="center"/>
    </xf>
    <xf numFmtId="0" fontId="13" fillId="0" borderId="26" xfId="0" applyFont="1" applyBorder="1" applyAlignment="1">
      <alignment vertical="center" shrinkToFit="1"/>
    </xf>
    <xf numFmtId="0" fontId="17" fillId="0" borderId="27" xfId="0" applyFont="1" applyBorder="1" applyAlignment="1">
      <alignment horizontal="center" vertical="center"/>
    </xf>
    <xf numFmtId="0" fontId="13" fillId="0" borderId="29" xfId="0" applyFont="1" applyBorder="1" applyAlignment="1">
      <alignment vertical="center" shrinkToFit="1"/>
    </xf>
    <xf numFmtId="0" fontId="17" fillId="0" borderId="36" xfId="0" applyFont="1" applyBorder="1" applyAlignment="1">
      <alignment horizontal="center" vertical="center"/>
    </xf>
    <xf numFmtId="0" fontId="13" fillId="0" borderId="47" xfId="0" applyFont="1" applyBorder="1" applyAlignment="1">
      <alignment vertical="center" shrinkToFit="1"/>
    </xf>
    <xf numFmtId="0" fontId="17" fillId="0" borderId="48" xfId="0" applyFont="1" applyBorder="1" applyAlignment="1">
      <alignment horizontal="center" vertical="center"/>
    </xf>
    <xf numFmtId="0" fontId="13" fillId="0" borderId="32" xfId="0" applyFont="1" applyBorder="1" applyAlignment="1">
      <alignment vertical="center" shrinkToFit="1"/>
    </xf>
    <xf numFmtId="0" fontId="17" fillId="0" borderId="33" xfId="0" applyFont="1" applyBorder="1" applyAlignment="1">
      <alignment horizontal="center" vertical="center"/>
    </xf>
    <xf numFmtId="0" fontId="13" fillId="3" borderId="28" xfId="0" applyFont="1" applyFill="1" applyBorder="1">
      <alignment vertical="center"/>
    </xf>
    <xf numFmtId="0" fontId="13" fillId="3" borderId="34" xfId="0" applyFont="1" applyFill="1" applyBorder="1">
      <alignment vertical="center"/>
    </xf>
    <xf numFmtId="0" fontId="0" fillId="3" borderId="26" xfId="0" applyFill="1" applyBorder="1" applyAlignment="1">
      <alignment vertical="center" shrinkToFit="1"/>
    </xf>
    <xf numFmtId="0" fontId="2" fillId="3" borderId="27" xfId="0" applyFont="1" applyFill="1" applyBorder="1" applyAlignment="1">
      <alignment horizontal="center" vertical="center"/>
    </xf>
    <xf numFmtId="0" fontId="0" fillId="3" borderId="29" xfId="0" applyFill="1" applyBorder="1" applyAlignment="1">
      <alignment vertical="center" shrinkToFit="1"/>
    </xf>
    <xf numFmtId="0" fontId="11" fillId="3" borderId="30" xfId="0" applyFont="1" applyFill="1" applyBorder="1" applyAlignment="1">
      <alignment horizontal="center" vertical="center"/>
    </xf>
    <xf numFmtId="0" fontId="13" fillId="3" borderId="31" xfId="0" applyFont="1" applyFill="1" applyBorder="1">
      <alignment vertical="center"/>
    </xf>
    <xf numFmtId="0" fontId="13" fillId="4" borderId="28" xfId="0" applyFont="1" applyFill="1" applyBorder="1">
      <alignment vertical="center"/>
    </xf>
    <xf numFmtId="0" fontId="13" fillId="4" borderId="34" xfId="0" applyFont="1" applyFill="1" applyBorder="1">
      <alignment vertical="center"/>
    </xf>
    <xf numFmtId="0" fontId="13" fillId="4" borderId="26" xfId="0" applyFont="1" applyFill="1" applyBorder="1" applyAlignment="1">
      <alignment vertical="center" shrinkToFit="1"/>
    </xf>
    <xf numFmtId="0" fontId="17" fillId="4" borderId="27" xfId="0" applyFont="1" applyFill="1" applyBorder="1" applyAlignment="1">
      <alignment horizontal="center" vertical="center"/>
    </xf>
    <xf numFmtId="0" fontId="13" fillId="4" borderId="32" xfId="0" applyFont="1" applyFill="1" applyBorder="1" applyAlignment="1">
      <alignment vertical="center" shrinkToFit="1"/>
    </xf>
    <xf numFmtId="0" fontId="17" fillId="4" borderId="33" xfId="0" applyFont="1" applyFill="1" applyBorder="1" applyAlignment="1">
      <alignment horizontal="center" vertical="center"/>
    </xf>
    <xf numFmtId="0" fontId="0" fillId="4" borderId="47" xfId="0" applyFill="1" applyBorder="1" applyAlignment="1">
      <alignment vertical="center" shrinkToFit="1"/>
    </xf>
    <xf numFmtId="0" fontId="7" fillId="4" borderId="48" xfId="0" applyFont="1" applyFill="1" applyBorder="1" applyAlignment="1">
      <alignment horizontal="center" vertical="center"/>
    </xf>
    <xf numFmtId="0" fontId="13" fillId="4" borderId="49" xfId="0" applyFont="1" applyFill="1" applyBorder="1">
      <alignment vertical="center"/>
    </xf>
    <xf numFmtId="0" fontId="2" fillId="3" borderId="30" xfId="0" applyFont="1" applyFill="1" applyBorder="1" applyAlignment="1">
      <alignment horizontal="center" vertical="center"/>
    </xf>
    <xf numFmtId="0" fontId="12" fillId="0" borderId="41" xfId="0" applyFont="1" applyBorder="1" applyAlignment="1">
      <alignment horizontal="center" vertical="center"/>
    </xf>
    <xf numFmtId="0" fontId="12" fillId="0" borderId="42" xfId="0" applyFont="1" applyBorder="1" applyAlignment="1">
      <alignment horizontal="center" vertical="center"/>
    </xf>
    <xf numFmtId="0" fontId="12" fillId="0" borderId="43" xfId="0" applyFont="1" applyBorder="1" applyAlignment="1">
      <alignment horizontal="center" vertical="center"/>
    </xf>
    <xf numFmtId="0" fontId="12" fillId="0" borderId="44" xfId="0" applyFont="1" applyBorder="1" applyAlignment="1">
      <alignment horizontal="center" vertical="center"/>
    </xf>
    <xf numFmtId="0" fontId="20" fillId="0" borderId="43" xfId="0" applyFont="1" applyBorder="1" applyAlignment="1">
      <alignment horizontal="center" vertical="center"/>
    </xf>
    <xf numFmtId="0" fontId="20" fillId="0" borderId="44" xfId="0" applyFont="1" applyBorder="1" applyAlignment="1">
      <alignment horizontal="center" vertical="center"/>
    </xf>
    <xf numFmtId="0" fontId="20" fillId="0" borderId="41" xfId="0" applyFont="1" applyBorder="1" applyAlignment="1">
      <alignment horizontal="center" vertical="center"/>
    </xf>
    <xf numFmtId="0" fontId="20" fillId="0" borderId="42" xfId="0" applyFont="1" applyBorder="1" applyAlignment="1">
      <alignment horizontal="center" vertical="center"/>
    </xf>
    <xf numFmtId="0" fontId="12" fillId="4" borderId="41" xfId="0" applyFont="1" applyFill="1" applyBorder="1" applyAlignment="1">
      <alignment horizontal="center" vertical="center"/>
    </xf>
    <xf numFmtId="0" fontId="12" fillId="4" borderId="42" xfId="0" applyFont="1" applyFill="1" applyBorder="1" applyAlignment="1">
      <alignment horizontal="center" vertical="center"/>
    </xf>
    <xf numFmtId="0" fontId="12" fillId="3" borderId="41" xfId="0" applyFont="1" applyFill="1" applyBorder="1" applyAlignment="1">
      <alignment horizontal="center" vertical="center"/>
    </xf>
    <xf numFmtId="0" fontId="12" fillId="3" borderId="42" xfId="0" applyFont="1" applyFill="1" applyBorder="1" applyAlignment="1">
      <alignment horizontal="center" vertical="center"/>
    </xf>
    <xf numFmtId="0" fontId="12" fillId="3" borderId="43" xfId="0" applyFont="1" applyFill="1" applyBorder="1" applyAlignment="1">
      <alignment horizontal="center" vertical="center"/>
    </xf>
    <xf numFmtId="0" fontId="12" fillId="3" borderId="44" xfId="0" applyFont="1" applyFill="1" applyBorder="1" applyAlignment="1">
      <alignment horizontal="center" vertical="center"/>
    </xf>
    <xf numFmtId="0" fontId="12" fillId="4" borderId="43" xfId="0" applyFont="1" applyFill="1" applyBorder="1" applyAlignment="1">
      <alignment horizontal="center" vertical="center"/>
    </xf>
    <xf numFmtId="0" fontId="12" fillId="4" borderId="44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1" fontId="3" fillId="2" borderId="14" xfId="0" applyNumberFormat="1" applyFont="1" applyFill="1" applyBorder="1" applyAlignment="1">
      <alignment horizontal="center" vertical="center"/>
    </xf>
    <xf numFmtId="1" fontId="3" fillId="2" borderId="12" xfId="0" applyNumberFormat="1" applyFont="1" applyFill="1" applyBorder="1" applyAlignment="1">
      <alignment horizontal="center" vertical="center"/>
    </xf>
    <xf numFmtId="1" fontId="3" fillId="2" borderId="15" xfId="0" applyNumberFormat="1" applyFont="1" applyFill="1" applyBorder="1" applyAlignment="1">
      <alignment horizontal="center" vertical="center"/>
    </xf>
    <xf numFmtId="1" fontId="3" fillId="2" borderId="13" xfId="0" applyNumberFormat="1" applyFont="1" applyFill="1" applyBorder="1" applyAlignment="1">
      <alignment horizontal="center" vertical="center"/>
    </xf>
    <xf numFmtId="177" fontId="3" fillId="2" borderId="1" xfId="0" applyNumberFormat="1" applyFont="1" applyFill="1" applyBorder="1" applyAlignment="1">
      <alignment horizontal="center" vertical="center"/>
    </xf>
    <xf numFmtId="177" fontId="3" fillId="2" borderId="16" xfId="0" applyNumberFormat="1" applyFont="1" applyFill="1" applyBorder="1" applyAlignment="1">
      <alignment horizontal="center" vertical="center"/>
    </xf>
    <xf numFmtId="178" fontId="3" fillId="2" borderId="2" xfId="0" applyNumberFormat="1" applyFont="1" applyFill="1" applyBorder="1" applyAlignment="1">
      <alignment horizontal="center" vertical="center"/>
    </xf>
    <xf numFmtId="178" fontId="3" fillId="2" borderId="17" xfId="0" applyNumberFormat="1" applyFont="1" applyFill="1" applyBorder="1" applyAlignment="1">
      <alignment horizontal="center" vertical="center"/>
    </xf>
    <xf numFmtId="177" fontId="3" fillId="2" borderId="2" xfId="0" applyNumberFormat="1" applyFont="1" applyFill="1" applyBorder="1" applyAlignment="1">
      <alignment horizontal="center" vertical="center"/>
    </xf>
    <xf numFmtId="177" fontId="3" fillId="2" borderId="17" xfId="0" applyNumberFormat="1" applyFont="1" applyFill="1" applyBorder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AAAB1B-F1F9-42BF-B41F-8FE34EDCE06F}">
  <dimension ref="B2:K18"/>
  <sheetViews>
    <sheetView showGridLines="0" tabSelected="1" workbookViewId="0"/>
  </sheetViews>
  <sheetFormatPr defaultRowHeight="18"/>
  <cols>
    <col min="8" max="8" width="8.6640625" style="34"/>
    <col min="9" max="9" width="9.75" style="22" bestFit="1" customWidth="1"/>
  </cols>
  <sheetData>
    <row r="2" spans="2:11">
      <c r="B2" t="s">
        <v>25</v>
      </c>
    </row>
    <row r="3" spans="2:11">
      <c r="B3" t="s">
        <v>26</v>
      </c>
    </row>
    <row r="4" spans="2:11" ht="18.5" thickBot="1"/>
    <row r="5" spans="2:11" ht="19" thickTop="1" thickBot="1">
      <c r="C5" s="49" t="s">
        <v>28</v>
      </c>
      <c r="D5" s="50" t="s">
        <v>27</v>
      </c>
      <c r="E5" s="49" t="s">
        <v>34</v>
      </c>
      <c r="F5" s="50" t="s">
        <v>35</v>
      </c>
      <c r="H5" s="35" t="s">
        <v>10</v>
      </c>
      <c r="I5" s="27" t="s">
        <v>11</v>
      </c>
      <c r="J5" s="43"/>
    </row>
    <row r="6" spans="2:11" ht="18.5" thickTop="1">
      <c r="C6" s="48">
        <v>1</v>
      </c>
      <c r="D6" s="39">
        <v>62</v>
      </c>
      <c r="E6" s="54"/>
      <c r="F6" s="47"/>
      <c r="H6" s="36" t="s">
        <v>12</v>
      </c>
      <c r="I6" s="29" t="s">
        <v>15</v>
      </c>
      <c r="J6" s="44"/>
    </row>
    <row r="7" spans="2:11" ht="20">
      <c r="C7" s="28">
        <f>C6+1</f>
        <v>2</v>
      </c>
      <c r="D7" s="30">
        <v>71</v>
      </c>
      <c r="E7" s="55"/>
      <c r="F7" s="44"/>
      <c r="H7" s="51" t="s">
        <v>32</v>
      </c>
      <c r="I7" s="53" t="s">
        <v>33</v>
      </c>
      <c r="J7" s="58"/>
    </row>
    <row r="8" spans="2:11">
      <c r="C8" s="28">
        <f t="shared" ref="C8:C17" si="0">C7+1</f>
        <v>3</v>
      </c>
      <c r="D8" s="30">
        <v>65</v>
      </c>
      <c r="E8" s="55"/>
      <c r="F8" s="44"/>
      <c r="H8" s="51" t="s">
        <v>36</v>
      </c>
      <c r="I8" s="52" t="s">
        <v>37</v>
      </c>
      <c r="J8" s="58"/>
    </row>
    <row r="9" spans="2:11" ht="18.5" thickBot="1">
      <c r="C9" s="28">
        <f t="shared" si="0"/>
        <v>4</v>
      </c>
      <c r="D9" s="30">
        <v>68</v>
      </c>
      <c r="E9" s="55"/>
      <c r="F9" s="44"/>
      <c r="H9" s="37" t="s">
        <v>29</v>
      </c>
      <c r="I9" s="32" t="s">
        <v>30</v>
      </c>
      <c r="J9" s="45"/>
      <c r="K9" s="57"/>
    </row>
    <row r="10" spans="2:11" ht="19" thickTop="1" thickBot="1">
      <c r="C10" s="28">
        <f t="shared" si="0"/>
        <v>5</v>
      </c>
      <c r="D10" s="30">
        <v>74</v>
      </c>
      <c r="E10" s="55"/>
      <c r="F10" s="44"/>
      <c r="H10" s="40" t="s">
        <v>19</v>
      </c>
      <c r="I10" s="41" t="s">
        <v>31</v>
      </c>
      <c r="J10" s="46"/>
    </row>
    <row r="11" spans="2:11" ht="18.5" thickTop="1">
      <c r="C11" s="28">
        <f t="shared" si="0"/>
        <v>6</v>
      </c>
      <c r="D11" s="30">
        <v>70</v>
      </c>
      <c r="E11" s="55"/>
      <c r="F11" s="44"/>
      <c r="H11" s="38" t="s">
        <v>20</v>
      </c>
      <c r="I11" s="42" t="s">
        <v>38</v>
      </c>
      <c r="J11" s="47"/>
    </row>
    <row r="12" spans="2:11" ht="18.5" thickBot="1">
      <c r="C12" s="28">
        <f t="shared" si="0"/>
        <v>7</v>
      </c>
      <c r="D12" s="30">
        <v>59</v>
      </c>
      <c r="E12" s="55"/>
      <c r="F12" s="44"/>
      <c r="H12" s="84" t="s">
        <v>22</v>
      </c>
      <c r="I12" s="85"/>
      <c r="J12" s="45"/>
    </row>
    <row r="13" spans="2:11" ht="18.5" thickTop="1">
      <c r="C13" s="28">
        <f t="shared" si="0"/>
        <v>8</v>
      </c>
      <c r="D13" s="30">
        <v>77</v>
      </c>
      <c r="E13" s="55"/>
      <c r="F13" s="44"/>
      <c r="H13" s="86" t="s">
        <v>23</v>
      </c>
      <c r="I13" s="87"/>
      <c r="J13" s="43"/>
    </row>
    <row r="14" spans="2:11" ht="18.5" thickBot="1">
      <c r="C14" s="28">
        <f t="shared" si="0"/>
        <v>9</v>
      </c>
      <c r="D14" s="30">
        <v>66</v>
      </c>
      <c r="E14" s="55"/>
      <c r="F14" s="44"/>
      <c r="H14" s="84" t="s">
        <v>24</v>
      </c>
      <c r="I14" s="85"/>
      <c r="J14" s="45"/>
    </row>
    <row r="15" spans="2:11" ht="18.5" thickTop="1">
      <c r="C15" s="28">
        <f t="shared" si="0"/>
        <v>10</v>
      </c>
      <c r="D15" s="30">
        <v>73</v>
      </c>
      <c r="E15" s="55"/>
      <c r="F15" s="44"/>
    </row>
    <row r="16" spans="2:11">
      <c r="C16" s="28">
        <f t="shared" si="0"/>
        <v>11</v>
      </c>
      <c r="D16" s="30">
        <v>69</v>
      </c>
      <c r="E16" s="55"/>
      <c r="F16" s="44"/>
    </row>
    <row r="17" spans="3:6" ht="18.5" thickBot="1">
      <c r="C17" s="31">
        <f t="shared" si="0"/>
        <v>12</v>
      </c>
      <c r="D17" s="33">
        <v>64</v>
      </c>
      <c r="E17" s="56"/>
      <c r="F17" s="45"/>
    </row>
    <row r="18" spans="3:6" ht="18.5" thickTop="1"/>
  </sheetData>
  <mergeCells count="3">
    <mergeCell ref="H12:I12"/>
    <mergeCell ref="H13:I13"/>
    <mergeCell ref="H14:I14"/>
  </mergeCells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4E6FFD-F1B8-4BDB-A171-925BDE328616}">
  <dimension ref="B2:K14"/>
  <sheetViews>
    <sheetView showGridLines="0" workbookViewId="0"/>
  </sheetViews>
  <sheetFormatPr defaultRowHeight="18"/>
  <cols>
    <col min="3" max="3" width="8.6640625" style="34"/>
    <col min="4" max="4" width="6.25" style="22" bestFit="1" customWidth="1"/>
    <col min="6" max="6" width="3.58203125" customWidth="1"/>
    <col min="11" max="11" width="10.4140625" bestFit="1" customWidth="1"/>
  </cols>
  <sheetData>
    <row r="2" spans="2:11" ht="20">
      <c r="B2" t="s">
        <v>7</v>
      </c>
    </row>
    <row r="3" spans="2:11">
      <c r="B3" t="s">
        <v>8</v>
      </c>
    </row>
    <row r="4" spans="2:11">
      <c r="B4" t="s">
        <v>9</v>
      </c>
    </row>
    <row r="5" spans="2:11" ht="18.5" thickBot="1"/>
    <row r="6" spans="2:11" ht="18.5" thickTop="1">
      <c r="C6" s="35" t="s">
        <v>10</v>
      </c>
      <c r="D6" s="27" t="s">
        <v>11</v>
      </c>
      <c r="E6" s="43"/>
    </row>
    <row r="7" spans="2:11" ht="18.5" thickBot="1">
      <c r="C7" s="36" t="s">
        <v>12</v>
      </c>
      <c r="D7" s="29" t="s">
        <v>15</v>
      </c>
      <c r="E7" s="44"/>
    </row>
    <row r="8" spans="2:11" ht="19" thickTop="1" thickBot="1">
      <c r="C8" s="37" t="s">
        <v>14</v>
      </c>
      <c r="D8" s="32" t="s">
        <v>13</v>
      </c>
      <c r="E8" s="45"/>
      <c r="G8" s="25" t="s">
        <v>16</v>
      </c>
      <c r="H8" s="23"/>
      <c r="I8" s="24" t="s">
        <v>17</v>
      </c>
      <c r="J8" s="23"/>
      <c r="K8" s="26" t="s">
        <v>18</v>
      </c>
    </row>
    <row r="9" spans="2:11" ht="19" thickTop="1" thickBot="1">
      <c r="C9" s="40" t="s">
        <v>19</v>
      </c>
      <c r="D9" s="41" t="s">
        <v>0</v>
      </c>
      <c r="E9" s="46"/>
    </row>
    <row r="10" spans="2:11" ht="18.5" thickTop="1">
      <c r="C10" s="38" t="s">
        <v>20</v>
      </c>
      <c r="D10" s="42" t="s">
        <v>21</v>
      </c>
      <c r="E10" s="47"/>
    </row>
    <row r="11" spans="2:11" ht="18.5" thickBot="1">
      <c r="C11" s="84" t="s">
        <v>22</v>
      </c>
      <c r="D11" s="85"/>
      <c r="E11" s="45"/>
    </row>
    <row r="12" spans="2:11" ht="18.5" thickTop="1">
      <c r="C12" s="86" t="s">
        <v>23</v>
      </c>
      <c r="D12" s="87"/>
      <c r="E12" s="43"/>
    </row>
    <row r="13" spans="2:11" ht="18.5" thickBot="1">
      <c r="C13" s="84" t="s">
        <v>24</v>
      </c>
      <c r="D13" s="85"/>
      <c r="E13" s="45"/>
    </row>
    <row r="14" spans="2:11" ht="18.5" thickTop="1"/>
  </sheetData>
  <mergeCells count="3">
    <mergeCell ref="C11:D11"/>
    <mergeCell ref="C12:D12"/>
    <mergeCell ref="C13:D13"/>
  </mergeCells>
  <phoneticPr fontId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C1819E-2B60-4A1D-8469-64EB25D4CCED}">
  <dimension ref="B2:F13"/>
  <sheetViews>
    <sheetView showGridLines="0" workbookViewId="0"/>
  </sheetViews>
  <sheetFormatPr defaultRowHeight="18"/>
  <sheetData>
    <row r="2" spans="2:6">
      <c r="B2" t="s">
        <v>40</v>
      </c>
    </row>
    <row r="3" spans="2:6">
      <c r="B3" t="s">
        <v>39</v>
      </c>
    </row>
    <row r="4" spans="2:6" ht="18.5" thickBot="1"/>
    <row r="5" spans="2:6" ht="18.5" thickTop="1">
      <c r="C5" s="59" t="s">
        <v>10</v>
      </c>
      <c r="D5" s="60" t="s">
        <v>11</v>
      </c>
      <c r="E5" s="43"/>
      <c r="F5" s="57"/>
    </row>
    <row r="6" spans="2:6">
      <c r="C6" s="61" t="s">
        <v>29</v>
      </c>
      <c r="D6" s="62" t="s">
        <v>43</v>
      </c>
      <c r="E6" s="44"/>
      <c r="F6" s="57"/>
    </row>
    <row r="7" spans="2:6">
      <c r="C7" s="63" t="s">
        <v>36</v>
      </c>
      <c r="D7" s="64" t="s">
        <v>37</v>
      </c>
      <c r="E7" s="58"/>
      <c r="F7" s="57"/>
    </row>
    <row r="8" spans="2:6" ht="18.5" thickBot="1">
      <c r="C8" s="63" t="s">
        <v>32</v>
      </c>
      <c r="D8" s="64" t="s">
        <v>44</v>
      </c>
      <c r="E8" s="58"/>
      <c r="F8" s="57"/>
    </row>
    <row r="9" spans="2:6" ht="18.5" thickTop="1">
      <c r="C9" s="59" t="s">
        <v>41</v>
      </c>
      <c r="D9" s="60" t="s">
        <v>45</v>
      </c>
      <c r="E9" s="43"/>
      <c r="F9" s="57"/>
    </row>
    <row r="10" spans="2:6" ht="18.5" thickBot="1">
      <c r="C10" s="65" t="s">
        <v>42</v>
      </c>
      <c r="D10" s="66" t="s">
        <v>46</v>
      </c>
      <c r="E10" s="45"/>
      <c r="F10" s="57"/>
    </row>
    <row r="11" spans="2:6" ht="18.5" thickTop="1">
      <c r="C11" s="88" t="s">
        <v>23</v>
      </c>
      <c r="D11" s="89"/>
      <c r="E11" s="43"/>
      <c r="F11" s="57"/>
    </row>
    <row r="12" spans="2:6" ht="18.5" thickBot="1">
      <c r="C12" s="90" t="s">
        <v>24</v>
      </c>
      <c r="D12" s="91"/>
      <c r="E12" s="45"/>
      <c r="F12" s="57"/>
    </row>
    <row r="13" spans="2:6" ht="18.5" thickTop="1"/>
  </sheetData>
  <mergeCells count="2">
    <mergeCell ref="C11:D11"/>
    <mergeCell ref="C12:D12"/>
  </mergeCells>
  <phoneticPr fontId="1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7A816D-5A4B-427C-AE45-E55C1DA0A182}">
  <dimension ref="B2:K20"/>
  <sheetViews>
    <sheetView showGridLines="0" workbookViewId="0"/>
  </sheetViews>
  <sheetFormatPr defaultRowHeight="18"/>
  <sheetData>
    <row r="2" spans="2:11">
      <c r="B2" t="s">
        <v>47</v>
      </c>
    </row>
    <row r="3" spans="2:11">
      <c r="B3" t="s">
        <v>48</v>
      </c>
    </row>
    <row r="4" spans="2:11">
      <c r="B4" t="s">
        <v>39</v>
      </c>
    </row>
    <row r="5" spans="2:11" ht="18.5" thickBot="1"/>
    <row r="6" spans="2:11" ht="19" thickTop="1" thickBot="1">
      <c r="C6" s="49" t="s">
        <v>50</v>
      </c>
      <c r="D6" s="50" t="s">
        <v>49</v>
      </c>
      <c r="E6" s="49" t="s">
        <v>34</v>
      </c>
      <c r="F6" s="50" t="s">
        <v>35</v>
      </c>
      <c r="H6" s="35" t="s">
        <v>10</v>
      </c>
      <c r="I6" s="27" t="s">
        <v>11</v>
      </c>
      <c r="J6" s="43"/>
    </row>
    <row r="7" spans="2:11" ht="18.5" thickTop="1">
      <c r="C7" s="48">
        <v>1</v>
      </c>
      <c r="D7" s="39">
        <v>19.8</v>
      </c>
      <c r="E7" s="54"/>
      <c r="F7" s="47"/>
      <c r="H7" s="71" t="s">
        <v>12</v>
      </c>
      <c r="I7" s="83" t="s">
        <v>15</v>
      </c>
      <c r="J7" s="73"/>
    </row>
    <row r="8" spans="2:11" ht="20">
      <c r="C8" s="28">
        <f>C7+1</f>
        <v>2</v>
      </c>
      <c r="D8" s="30">
        <v>20.5</v>
      </c>
      <c r="E8" s="55"/>
      <c r="F8" s="44"/>
      <c r="H8" s="80" t="s">
        <v>32</v>
      </c>
      <c r="I8" s="81" t="s">
        <v>33</v>
      </c>
      <c r="J8" s="82"/>
    </row>
    <row r="9" spans="2:11">
      <c r="C9" s="28">
        <f t="shared" ref="C9:C14" si="0">C8+1</f>
        <v>3</v>
      </c>
      <c r="D9" s="30">
        <v>21.2</v>
      </c>
      <c r="E9" s="55"/>
      <c r="F9" s="44"/>
      <c r="H9" s="51" t="s">
        <v>36</v>
      </c>
      <c r="I9" s="52" t="s">
        <v>37</v>
      </c>
      <c r="J9" s="58"/>
    </row>
    <row r="10" spans="2:11" ht="18.5" thickBot="1">
      <c r="C10" s="28">
        <f t="shared" si="0"/>
        <v>4</v>
      </c>
      <c r="D10" s="30">
        <v>19.5</v>
      </c>
      <c r="E10" s="55"/>
      <c r="F10" s="44"/>
      <c r="H10" s="37" t="s">
        <v>29</v>
      </c>
      <c r="I10" s="32" t="s">
        <v>30</v>
      </c>
      <c r="J10" s="45"/>
      <c r="K10" s="57"/>
    </row>
    <row r="11" spans="2:11" ht="18.5" thickTop="1">
      <c r="C11" s="28">
        <f t="shared" si="0"/>
        <v>5</v>
      </c>
      <c r="D11" s="30">
        <v>20.8</v>
      </c>
      <c r="E11" s="55"/>
      <c r="F11" s="44"/>
      <c r="H11" s="69" t="s">
        <v>19</v>
      </c>
      <c r="I11" s="70" t="s">
        <v>31</v>
      </c>
      <c r="J11" s="67"/>
      <c r="K11" s="57"/>
    </row>
    <row r="12" spans="2:11">
      <c r="C12" s="28">
        <f t="shared" si="0"/>
        <v>6</v>
      </c>
      <c r="D12" s="30">
        <v>20.100000000000001</v>
      </c>
      <c r="E12" s="55"/>
      <c r="F12" s="44"/>
      <c r="H12" s="71" t="s">
        <v>20</v>
      </c>
      <c r="I12" s="72" t="s">
        <v>38</v>
      </c>
      <c r="J12" s="73"/>
      <c r="K12" s="57"/>
    </row>
    <row r="13" spans="2:11" ht="18.5" thickBot="1">
      <c r="C13" s="28">
        <f t="shared" si="0"/>
        <v>7</v>
      </c>
      <c r="D13" s="30">
        <v>21</v>
      </c>
      <c r="E13" s="55"/>
      <c r="F13" s="44"/>
      <c r="H13" s="94" t="s">
        <v>22</v>
      </c>
      <c r="I13" s="95"/>
      <c r="J13" s="68"/>
      <c r="K13" s="57"/>
    </row>
    <row r="14" spans="2:11" ht="19" thickTop="1" thickBot="1">
      <c r="C14" s="31">
        <f t="shared" si="0"/>
        <v>8</v>
      </c>
      <c r="D14" s="33">
        <v>19.899999999999999</v>
      </c>
      <c r="E14" s="56"/>
      <c r="F14" s="45"/>
      <c r="H14" s="76" t="s">
        <v>41</v>
      </c>
      <c r="I14" s="77" t="s">
        <v>45</v>
      </c>
      <c r="J14" s="74"/>
      <c r="K14" s="57"/>
    </row>
    <row r="15" spans="2:11" ht="19" thickTop="1" thickBot="1">
      <c r="H15" s="78" t="s">
        <v>42</v>
      </c>
      <c r="I15" s="79" t="s">
        <v>46</v>
      </c>
      <c r="J15" s="75"/>
      <c r="K15" s="57"/>
    </row>
    <row r="16" spans="2:11" ht="18.5" thickTop="1">
      <c r="H16" s="96" t="s">
        <v>51</v>
      </c>
      <c r="I16" s="97"/>
      <c r="J16" s="67"/>
    </row>
    <row r="17" spans="8:10" ht="18.5" thickBot="1">
      <c r="H17" s="94" t="s">
        <v>52</v>
      </c>
      <c r="I17" s="95"/>
      <c r="J17" s="68"/>
    </row>
    <row r="18" spans="8:10" ht="18.5" thickTop="1">
      <c r="H18" s="98" t="s">
        <v>53</v>
      </c>
      <c r="I18" s="99"/>
      <c r="J18" s="74"/>
    </row>
    <row r="19" spans="8:10" ht="18.5" thickBot="1">
      <c r="H19" s="92" t="s">
        <v>54</v>
      </c>
      <c r="I19" s="93"/>
      <c r="J19" s="75"/>
    </row>
    <row r="20" spans="8:10" ht="18.5" thickTop="1"/>
  </sheetData>
  <mergeCells count="5">
    <mergeCell ref="H13:I13"/>
    <mergeCell ref="H16:I16"/>
    <mergeCell ref="H17:I17"/>
    <mergeCell ref="H18:I18"/>
    <mergeCell ref="H19:I19"/>
  </mergeCells>
  <phoneticPr fontId="1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3A1E24-C33E-4F70-BCBD-2265E10628CF}">
  <dimension ref="C2:M42"/>
  <sheetViews>
    <sheetView showGridLines="0" zoomScale="70" zoomScaleNormal="70" workbookViewId="0"/>
  </sheetViews>
  <sheetFormatPr defaultRowHeight="15" customHeight="1"/>
  <cols>
    <col min="1" max="1" width="8.6640625" style="1"/>
    <col min="2" max="2" width="3.58203125" style="1" customWidth="1"/>
    <col min="3" max="13" width="8.6640625" style="1"/>
    <col min="14" max="14" width="3.58203125" style="1" customWidth="1"/>
    <col min="15" max="16384" width="8.6640625" style="1"/>
  </cols>
  <sheetData>
    <row r="2" spans="3:13" ht="15" customHeight="1">
      <c r="C2" s="100" t="s">
        <v>1</v>
      </c>
      <c r="D2" s="100"/>
      <c r="E2" s="100"/>
      <c r="F2" s="100"/>
      <c r="G2" s="100"/>
      <c r="H2" s="100"/>
      <c r="I2" s="100"/>
      <c r="J2" s="100"/>
      <c r="K2" s="100"/>
      <c r="L2" s="100"/>
      <c r="M2" s="100"/>
    </row>
    <row r="3" spans="3:13" ht="15" customHeight="1" thickBot="1"/>
    <row r="4" spans="3:13" ht="15" customHeight="1" thickTop="1">
      <c r="C4" s="10" t="s">
        <v>0</v>
      </c>
      <c r="D4" s="11">
        <v>0</v>
      </c>
      <c r="E4" s="11">
        <v>0.01</v>
      </c>
      <c r="F4" s="11">
        <v>0.02</v>
      </c>
      <c r="G4" s="11">
        <v>0.03</v>
      </c>
      <c r="H4" s="11">
        <v>0.04</v>
      </c>
      <c r="I4" s="11">
        <v>0.05</v>
      </c>
      <c r="J4" s="11">
        <v>0.06</v>
      </c>
      <c r="K4" s="11">
        <v>7.0000000000000007E-2</v>
      </c>
      <c r="L4" s="11">
        <v>0.08</v>
      </c>
      <c r="M4" s="12">
        <v>0.09</v>
      </c>
    </row>
    <row r="5" spans="3:13" ht="15" customHeight="1">
      <c r="C5" s="2">
        <v>0</v>
      </c>
      <c r="D5" s="3">
        <f t="shared" ref="D5:M5" si="0">1-_xlfn.NORM.DIST($C5+D$4,0,1,TRUE)</f>
        <v>0.5</v>
      </c>
      <c r="E5" s="3">
        <f t="shared" si="0"/>
        <v>0.4960106436853684</v>
      </c>
      <c r="F5" s="3">
        <f t="shared" si="0"/>
        <v>0.49202168628309795</v>
      </c>
      <c r="G5" s="3">
        <f t="shared" si="0"/>
        <v>0.48803352658588728</v>
      </c>
      <c r="H5" s="3">
        <f t="shared" si="0"/>
        <v>0.48404656314716932</v>
      </c>
      <c r="I5" s="3">
        <f t="shared" si="0"/>
        <v>0.48006119416162751</v>
      </c>
      <c r="J5" s="3">
        <f t="shared" si="0"/>
        <v>0.47607781734589316</v>
      </c>
      <c r="K5" s="3">
        <f t="shared" si="0"/>
        <v>0.47209682981947887</v>
      </c>
      <c r="L5" s="3">
        <f t="shared" si="0"/>
        <v>0.46811862798601256</v>
      </c>
      <c r="M5" s="4">
        <f t="shared" si="0"/>
        <v>0.46414360741482796</v>
      </c>
    </row>
    <row r="6" spans="3:13" ht="15" customHeight="1">
      <c r="C6" s="2"/>
      <c r="D6" s="5"/>
      <c r="E6" s="5"/>
      <c r="F6" s="5"/>
      <c r="G6" s="5"/>
      <c r="H6" s="5"/>
      <c r="I6" s="5"/>
      <c r="J6" s="5"/>
      <c r="K6" s="5"/>
      <c r="L6" s="5"/>
      <c r="M6" s="6"/>
    </row>
    <row r="7" spans="3:13" ht="15" customHeight="1">
      <c r="C7" s="2">
        <v>0.1</v>
      </c>
      <c r="D7" s="3">
        <f t="shared" ref="D7:M11" si="1">1-_xlfn.NORM.DIST($C7+D$4,0,1,TRUE)</f>
        <v>0.46017216272297101</v>
      </c>
      <c r="E7" s="3">
        <f t="shared" si="1"/>
        <v>0.45620468745768328</v>
      </c>
      <c r="F7" s="3">
        <f t="shared" si="1"/>
        <v>0.45224157397941611</v>
      </c>
      <c r="G7" s="3">
        <f t="shared" si="1"/>
        <v>0.44828321334543886</v>
      </c>
      <c r="H7" s="3">
        <f t="shared" si="1"/>
        <v>0.44432999519409355</v>
      </c>
      <c r="I7" s="3">
        <f t="shared" si="1"/>
        <v>0.4403823076297575</v>
      </c>
      <c r="J7" s="3">
        <f t="shared" si="1"/>
        <v>0.43644053710856712</v>
      </c>
      <c r="K7" s="3">
        <f t="shared" si="1"/>
        <v>0.43250506832496161</v>
      </c>
      <c r="L7" s="3">
        <f t="shared" si="1"/>
        <v>0.4285762840990992</v>
      </c>
      <c r="M7" s="4">
        <f t="shared" si="1"/>
        <v>0.42465456526520451</v>
      </c>
    </row>
    <row r="8" spans="3:13" ht="15" customHeight="1">
      <c r="C8" s="2">
        <v>0.2</v>
      </c>
      <c r="D8" s="3">
        <f t="shared" si="1"/>
        <v>0.42074029056089701</v>
      </c>
      <c r="E8" s="3">
        <f t="shared" si="1"/>
        <v>0.41683383651755768</v>
      </c>
      <c r="F8" s="3">
        <f t="shared" si="1"/>
        <v>0.41293557735178532</v>
      </c>
      <c r="G8" s="3">
        <f t="shared" si="1"/>
        <v>0.40904588485799409</v>
      </c>
      <c r="H8" s="3">
        <f t="shared" si="1"/>
        <v>0.40516512830220419</v>
      </c>
      <c r="I8" s="3">
        <f t="shared" si="1"/>
        <v>0.4012936743170763</v>
      </c>
      <c r="J8" s="3">
        <f t="shared" si="1"/>
        <v>0.39743188679823949</v>
      </c>
      <c r="K8" s="3">
        <f t="shared" si="1"/>
        <v>0.39358012680196053</v>
      </c>
      <c r="L8" s="3">
        <f t="shared" si="1"/>
        <v>0.38973875244420275</v>
      </c>
      <c r="M8" s="4">
        <f t="shared" si="1"/>
        <v>0.38590811880112263</v>
      </c>
    </row>
    <row r="9" spans="3:13" ht="15" customHeight="1">
      <c r="C9" s="2">
        <v>0.3</v>
      </c>
      <c r="D9" s="3">
        <f t="shared" si="1"/>
        <v>0.38208857781104733</v>
      </c>
      <c r="E9" s="3">
        <f t="shared" si="1"/>
        <v>0.37828047817798072</v>
      </c>
      <c r="F9" s="3">
        <f t="shared" si="1"/>
        <v>0.37448416527667994</v>
      </c>
      <c r="G9" s="3">
        <f t="shared" si="1"/>
        <v>0.37069998105934654</v>
      </c>
      <c r="H9" s="3">
        <f t="shared" si="1"/>
        <v>0.36692826396397193</v>
      </c>
      <c r="I9" s="3">
        <f t="shared" si="1"/>
        <v>0.3631693488243809</v>
      </c>
      <c r="J9" s="3">
        <f t="shared" si="1"/>
        <v>0.35942356678200871</v>
      </c>
      <c r="K9" s="3">
        <f t="shared" si="1"/>
        <v>0.35569124519945317</v>
      </c>
      <c r="L9" s="3">
        <f t="shared" si="1"/>
        <v>0.35197270757583721</v>
      </c>
      <c r="M9" s="4">
        <f t="shared" si="1"/>
        <v>0.34826827346401756</v>
      </c>
    </row>
    <row r="10" spans="3:13" ht="15" customHeight="1">
      <c r="C10" s="2">
        <v>0.4</v>
      </c>
      <c r="D10" s="3">
        <f t="shared" si="1"/>
        <v>0.34457825838967571</v>
      </c>
      <c r="E10" s="3">
        <f t="shared" si="1"/>
        <v>0.34090297377232259</v>
      </c>
      <c r="F10" s="3">
        <f t="shared" si="1"/>
        <v>0.33724272684824941</v>
      </c>
      <c r="G10" s="3">
        <f t="shared" si="1"/>
        <v>0.33359782059545762</v>
      </c>
      <c r="H10" s="3">
        <f t="shared" si="1"/>
        <v>0.32996855366059363</v>
      </c>
      <c r="I10" s="3">
        <f t="shared" si="1"/>
        <v>0.32635522028791997</v>
      </c>
      <c r="J10" s="3">
        <f t="shared" si="1"/>
        <v>0.32275811025034773</v>
      </c>
      <c r="K10" s="3">
        <f t="shared" si="1"/>
        <v>0.3191775087825558</v>
      </c>
      <c r="L10" s="3">
        <f t="shared" si="1"/>
        <v>0.31561369651622251</v>
      </c>
      <c r="M10" s="4">
        <f t="shared" si="1"/>
        <v>0.31206694941739055</v>
      </c>
    </row>
    <row r="11" spans="3:13" ht="15" customHeight="1">
      <c r="C11" s="2">
        <v>0.5</v>
      </c>
      <c r="D11" s="3">
        <f t="shared" si="1"/>
        <v>0.30853753872598688</v>
      </c>
      <c r="E11" s="3">
        <f t="shared" si="1"/>
        <v>0.30502573089751939</v>
      </c>
      <c r="F11" s="3">
        <f t="shared" si="1"/>
        <v>0.30153178754696619</v>
      </c>
      <c r="G11" s="3">
        <f t="shared" si="1"/>
        <v>0.29805596539487644</v>
      </c>
      <c r="H11" s="3">
        <f t="shared" si="1"/>
        <v>0.29459851621569799</v>
      </c>
      <c r="I11" s="3">
        <f t="shared" si="1"/>
        <v>0.29115968678834636</v>
      </c>
      <c r="J11" s="3">
        <f t="shared" si="1"/>
        <v>0.28773971884902705</v>
      </c>
      <c r="K11" s="3">
        <f t="shared" si="1"/>
        <v>0.28433884904632412</v>
      </c>
      <c r="L11" s="3">
        <f t="shared" si="1"/>
        <v>0.2809573088985643</v>
      </c>
      <c r="M11" s="4">
        <f t="shared" si="1"/>
        <v>0.27759532475346493</v>
      </c>
    </row>
    <row r="12" spans="3:13" ht="15" customHeight="1">
      <c r="C12" s="2"/>
      <c r="D12" s="5"/>
      <c r="E12" s="5"/>
      <c r="F12" s="5"/>
      <c r="G12" s="5"/>
      <c r="H12" s="5"/>
      <c r="I12" s="5"/>
      <c r="J12" s="5"/>
      <c r="K12" s="5"/>
      <c r="L12" s="5"/>
      <c r="M12" s="6"/>
    </row>
    <row r="13" spans="3:13" ht="15" customHeight="1">
      <c r="C13" s="2">
        <v>0.6</v>
      </c>
      <c r="D13" s="3">
        <f t="shared" ref="D13:M17" si="2">1-_xlfn.NORM.DIST($C13+D$4,0,1,TRUE)</f>
        <v>0.27425311775007355</v>
      </c>
      <c r="E13" s="3">
        <f t="shared" si="2"/>
        <v>0.27093090378300566</v>
      </c>
      <c r="F13" s="3">
        <f t="shared" si="2"/>
        <v>0.267628893468983</v>
      </c>
      <c r="G13" s="3">
        <f t="shared" si="2"/>
        <v>0.26434729211567753</v>
      </c>
      <c r="H13" s="3">
        <f t="shared" si="2"/>
        <v>0.26108629969286157</v>
      </c>
      <c r="I13" s="3">
        <f t="shared" si="2"/>
        <v>0.25784611080586473</v>
      </c>
      <c r="J13" s="3">
        <f t="shared" si="2"/>
        <v>0.25462691467133614</v>
      </c>
      <c r="K13" s="3">
        <f t="shared" si="2"/>
        <v>0.25142889509531008</v>
      </c>
      <c r="L13" s="3">
        <f t="shared" si="2"/>
        <v>0.24825223045357048</v>
      </c>
      <c r="M13" s="4">
        <f t="shared" si="2"/>
        <v>0.24509709367430943</v>
      </c>
    </row>
    <row r="14" spans="3:13" ht="15" customHeight="1">
      <c r="C14" s="2">
        <v>0.7</v>
      </c>
      <c r="D14" s="3">
        <f t="shared" si="2"/>
        <v>0.24196365222307303</v>
      </c>
      <c r="E14" s="3">
        <f t="shared" si="2"/>
        <v>0.23885206808998671</v>
      </c>
      <c r="F14" s="3">
        <f t="shared" si="2"/>
        <v>0.23576249777925118</v>
      </c>
      <c r="G14" s="3">
        <f t="shared" si="2"/>
        <v>0.23269509230089747</v>
      </c>
      <c r="H14" s="3">
        <f t="shared" si="2"/>
        <v>0.22964999716479062</v>
      </c>
      <c r="I14" s="3">
        <f t="shared" si="2"/>
        <v>0.22662735237686826</v>
      </c>
      <c r="J14" s="3">
        <f t="shared" si="2"/>
        <v>0.22362729243759938</v>
      </c>
      <c r="K14" s="3">
        <f t="shared" si="2"/>
        <v>0.22064994634264956</v>
      </c>
      <c r="L14" s="3">
        <f t="shared" si="2"/>
        <v>0.21769543758573318</v>
      </c>
      <c r="M14" s="4">
        <f t="shared" si="2"/>
        <v>0.21476388416363723</v>
      </c>
    </row>
    <row r="15" spans="3:13" ht="15" customHeight="1">
      <c r="C15" s="2">
        <v>0.8</v>
      </c>
      <c r="D15" s="3">
        <f t="shared" si="2"/>
        <v>0.21185539858339664</v>
      </c>
      <c r="E15" s="3">
        <f t="shared" si="2"/>
        <v>0.20897008787160165</v>
      </c>
      <c r="F15" s="3">
        <f t="shared" si="2"/>
        <v>0.20610805358581308</v>
      </c>
      <c r="G15" s="3">
        <f t="shared" si="2"/>
        <v>0.20326939182806836</v>
      </c>
      <c r="H15" s="3">
        <f t="shared" si="2"/>
        <v>0.20045419326044966</v>
      </c>
      <c r="I15" s="3">
        <f t="shared" si="2"/>
        <v>0.19766254312269238</v>
      </c>
      <c r="J15" s="3">
        <f t="shared" si="2"/>
        <v>0.19489452125180828</v>
      </c>
      <c r="K15" s="3">
        <f t="shared" si="2"/>
        <v>0.19215020210369615</v>
      </c>
      <c r="L15" s="3">
        <f t="shared" si="2"/>
        <v>0.18942965477671214</v>
      </c>
      <c r="M15" s="4">
        <f t="shared" si="2"/>
        <v>0.18673294303717258</v>
      </c>
    </row>
    <row r="16" spans="3:13" ht="15" customHeight="1">
      <c r="C16" s="2">
        <v>0.9</v>
      </c>
      <c r="D16" s="3">
        <f t="shared" si="2"/>
        <v>0.18406012534675953</v>
      </c>
      <c r="E16" s="3">
        <f t="shared" si="2"/>
        <v>0.18141125489179721</v>
      </c>
      <c r="F16" s="3">
        <f t="shared" si="2"/>
        <v>0.17878637961437172</v>
      </c>
      <c r="G16" s="3">
        <f t="shared" si="2"/>
        <v>0.17618554224525784</v>
      </c>
      <c r="H16" s="3">
        <f t="shared" si="2"/>
        <v>0.17360878033862448</v>
      </c>
      <c r="I16" s="3">
        <f t="shared" si="2"/>
        <v>0.17105612630848177</v>
      </c>
      <c r="J16" s="3">
        <f t="shared" si="2"/>
        <v>0.16852760746683781</v>
      </c>
      <c r="K16" s="3">
        <f t="shared" si="2"/>
        <v>0.16602324606352958</v>
      </c>
      <c r="L16" s="3">
        <f t="shared" si="2"/>
        <v>0.16354305932769231</v>
      </c>
      <c r="M16" s="4">
        <f t="shared" si="2"/>
        <v>0.16108705951083091</v>
      </c>
    </row>
    <row r="17" spans="3:13" ht="15" customHeight="1">
      <c r="C17" s="2">
        <v>1</v>
      </c>
      <c r="D17" s="3">
        <f t="shared" si="2"/>
        <v>0.15865525393145696</v>
      </c>
      <c r="E17" s="3">
        <f t="shared" si="2"/>
        <v>0.15624764502125454</v>
      </c>
      <c r="F17" s="3">
        <f t="shared" si="2"/>
        <v>0.15386423037273489</v>
      </c>
      <c r="G17" s="3">
        <f t="shared" si="2"/>
        <v>0.15150500278834367</v>
      </c>
      <c r="H17" s="3">
        <f t="shared" si="2"/>
        <v>0.14916995033098135</v>
      </c>
      <c r="I17" s="3">
        <f t="shared" si="2"/>
        <v>0.14685905637589591</v>
      </c>
      <c r="J17" s="3">
        <f t="shared" si="2"/>
        <v>0.14457229966390961</v>
      </c>
      <c r="K17" s="3">
        <f t="shared" si="2"/>
        <v>0.14230965435593923</v>
      </c>
      <c r="L17" s="3">
        <f t="shared" si="2"/>
        <v>0.14007109008876906</v>
      </c>
      <c r="M17" s="4">
        <f t="shared" si="2"/>
        <v>0.1378565720320355</v>
      </c>
    </row>
    <row r="18" spans="3:13" ht="15" customHeight="1">
      <c r="C18" s="2"/>
      <c r="D18" s="5"/>
      <c r="E18" s="5"/>
      <c r="F18" s="5"/>
      <c r="G18" s="5"/>
      <c r="H18" s="5"/>
      <c r="I18" s="5"/>
      <c r="J18" s="5"/>
      <c r="K18" s="5"/>
      <c r="L18" s="5"/>
      <c r="M18" s="6"/>
    </row>
    <row r="19" spans="3:13" ht="15" customHeight="1">
      <c r="C19" s="2">
        <v>1.1000000000000001</v>
      </c>
      <c r="D19" s="3">
        <f t="shared" ref="D19:M23" si="3">1-_xlfn.NORM.DIST($C19+D$4,0,1,TRUE)</f>
        <v>0.13566606094638267</v>
      </c>
      <c r="E19" s="3">
        <f t="shared" si="3"/>
        <v>0.13349951324274723</v>
      </c>
      <c r="F19" s="3">
        <f t="shared" si="3"/>
        <v>0.13135688104273069</v>
      </c>
      <c r="G19" s="3">
        <f t="shared" si="3"/>
        <v>0.1292381122400178</v>
      </c>
      <c r="H19" s="3">
        <f t="shared" si="3"/>
        <v>0.12714315056279824</v>
      </c>
      <c r="I19" s="3">
        <f t="shared" si="3"/>
        <v>0.12507193563715013</v>
      </c>
      <c r="J19" s="3">
        <f t="shared" si="3"/>
        <v>0.12302440305134332</v>
      </c>
      <c r="K19" s="3">
        <f t="shared" si="3"/>
        <v>0.12100048442101818</v>
      </c>
      <c r="L19" s="3">
        <f t="shared" si="3"/>
        <v>0.11900010745520062</v>
      </c>
      <c r="M19" s="4">
        <f t="shared" si="3"/>
        <v>0.11702319602310873</v>
      </c>
    </row>
    <row r="20" spans="3:13" ht="15" customHeight="1">
      <c r="C20" s="2">
        <v>1.2</v>
      </c>
      <c r="D20" s="3">
        <f t="shared" si="3"/>
        <v>0.11506967022170822</v>
      </c>
      <c r="E20" s="3">
        <f t="shared" si="3"/>
        <v>0.11313944644397722</v>
      </c>
      <c r="F20" s="3">
        <f t="shared" si="3"/>
        <v>0.11123243744783462</v>
      </c>
      <c r="G20" s="3">
        <f t="shared" si="3"/>
        <v>0.10934855242569186</v>
      </c>
      <c r="H20" s="3">
        <f t="shared" si="3"/>
        <v>0.10748769707458694</v>
      </c>
      <c r="I20" s="3">
        <f t="shared" si="3"/>
        <v>0.10564977366685524</v>
      </c>
      <c r="J20" s="3">
        <f t="shared" si="3"/>
        <v>0.10383468112130034</v>
      </c>
      <c r="K20" s="3">
        <f t="shared" si="3"/>
        <v>0.10204231507481909</v>
      </c>
      <c r="L20" s="3">
        <f t="shared" si="3"/>
        <v>0.10027256795444206</v>
      </c>
      <c r="M20" s="4">
        <f t="shared" si="3"/>
        <v>9.8525329049747867E-2</v>
      </c>
    </row>
    <row r="21" spans="3:13" ht="15" customHeight="1">
      <c r="C21" s="2">
        <v>1.3</v>
      </c>
      <c r="D21" s="3">
        <f t="shared" si="3"/>
        <v>9.6800484585610302E-2</v>
      </c>
      <c r="E21" s="3">
        <f t="shared" si="3"/>
        <v>9.5097917795239018E-2</v>
      </c>
      <c r="F21" s="3">
        <f t="shared" si="3"/>
        <v>9.3417508993471787E-2</v>
      </c>
      <c r="G21" s="3">
        <f t="shared" si="3"/>
        <v>9.1759135650280821E-2</v>
      </c>
      <c r="H21" s="3">
        <f t="shared" si="3"/>
        <v>9.0122672464452491E-2</v>
      </c>
      <c r="I21" s="3">
        <f t="shared" si="3"/>
        <v>8.8507991437401956E-2</v>
      </c>
      <c r="J21" s="3">
        <f t="shared" si="3"/>
        <v>8.6914961947085034E-2</v>
      </c>
      <c r="K21" s="3">
        <f t="shared" si="3"/>
        <v>8.5343450821966926E-2</v>
      </c>
      <c r="L21" s="3">
        <f t="shared" si="3"/>
        <v>8.3793322415014249E-2</v>
      </c>
      <c r="M21" s="4">
        <f t="shared" si="3"/>
        <v>8.2264438677668861E-2</v>
      </c>
    </row>
    <row r="22" spans="3:13" ht="15" customHeight="1">
      <c r="C22" s="2">
        <v>1.4</v>
      </c>
      <c r="D22" s="3">
        <f t="shared" si="3"/>
        <v>8.0756659233771066E-2</v>
      </c>
      <c r="E22" s="3">
        <f t="shared" si="3"/>
        <v>7.9269841453392442E-2</v>
      </c>
      <c r="F22" s="3">
        <f t="shared" si="3"/>
        <v>7.780384052654632E-2</v>
      </c>
      <c r="G22" s="3">
        <f t="shared" si="3"/>
        <v>7.6358509536739172E-2</v>
      </c>
      <c r="H22" s="3">
        <f t="shared" si="3"/>
        <v>7.4933699534327047E-2</v>
      </c>
      <c r="I22" s="3">
        <f t="shared" si="3"/>
        <v>7.3529259609648401E-2</v>
      </c>
      <c r="J22" s="3">
        <f t="shared" si="3"/>
        <v>7.2145036965893805E-2</v>
      </c>
      <c r="K22" s="3">
        <f t="shared" si="3"/>
        <v>7.078087699168556E-2</v>
      </c>
      <c r="L22" s="3">
        <f t="shared" si="3"/>
        <v>6.9436623333331671E-2</v>
      </c>
      <c r="M22" s="4">
        <f t="shared" si="3"/>
        <v>6.8112117966725449E-2</v>
      </c>
    </row>
    <row r="23" spans="3:13" ht="15" customHeight="1">
      <c r="C23" s="2">
        <v>1.5</v>
      </c>
      <c r="D23" s="3">
        <f t="shared" si="3"/>
        <v>6.6807201268858085E-2</v>
      </c>
      <c r="E23" s="3">
        <f t="shared" si="3"/>
        <v>6.5521712088916439E-2</v>
      </c>
      <c r="F23" s="3">
        <f t="shared" si="3"/>
        <v>6.4255487818935753E-2</v>
      </c>
      <c r="G23" s="3">
        <f t="shared" si="3"/>
        <v>6.3008364463978395E-2</v>
      </c>
      <c r="H23" s="3">
        <f t="shared" si="3"/>
        <v>6.1780176711811907E-2</v>
      </c>
      <c r="I23" s="3">
        <f t="shared" si="3"/>
        <v>6.0570758002059022E-2</v>
      </c>
      <c r="J23" s="3">
        <f t="shared" si="3"/>
        <v>5.9379940594793013E-2</v>
      </c>
      <c r="K23" s="3">
        <f t="shared" si="3"/>
        <v>5.8207555638553066E-2</v>
      </c>
      <c r="L23" s="3">
        <f t="shared" si="3"/>
        <v>5.7053433237754136E-2</v>
      </c>
      <c r="M23" s="4">
        <f t="shared" si="3"/>
        <v>5.5917402519469417E-2</v>
      </c>
    </row>
    <row r="24" spans="3:13" ht="15" customHeight="1">
      <c r="C24" s="2"/>
      <c r="D24" s="5"/>
      <c r="E24" s="5"/>
      <c r="F24" s="5"/>
      <c r="G24" s="5"/>
      <c r="H24" s="5"/>
      <c r="I24" s="5"/>
      <c r="J24" s="5"/>
      <c r="K24" s="5"/>
      <c r="L24" s="5"/>
      <c r="M24" s="6"/>
    </row>
    <row r="25" spans="3:13" ht="15" customHeight="1">
      <c r="C25" s="2">
        <v>1.6</v>
      </c>
      <c r="D25" s="3">
        <f t="shared" ref="D25:M29" si="4">1-_xlfn.NORM.DIST($C25+D$4,0,1,TRUE)</f>
        <v>5.4799291699557995E-2</v>
      </c>
      <c r="E25" s="3">
        <f t="shared" si="4"/>
        <v>5.3698928148119718E-2</v>
      </c>
      <c r="F25" s="3">
        <f t="shared" si="4"/>
        <v>5.2616138454252059E-2</v>
      </c>
      <c r="G25" s="3">
        <f t="shared" si="4"/>
        <v>5.1550748490089338E-2</v>
      </c>
      <c r="H25" s="3">
        <f t="shared" si="4"/>
        <v>5.0502583474103746E-2</v>
      </c>
      <c r="I25" s="3">
        <f t="shared" si="4"/>
        <v>4.9471468033648103E-2</v>
      </c>
      <c r="J25" s="3">
        <f t="shared" si="4"/>
        <v>4.8457226266722775E-2</v>
      </c>
      <c r="K25" s="3">
        <f t="shared" si="4"/>
        <v>4.7459681802947351E-2</v>
      </c>
      <c r="L25" s="3">
        <f t="shared" si="4"/>
        <v>4.6478657863719963E-2</v>
      </c>
      <c r="M25" s="4">
        <f t="shared" si="4"/>
        <v>4.5513977321549826E-2</v>
      </c>
    </row>
    <row r="26" spans="3:13" ht="15" customHeight="1">
      <c r="C26" s="2">
        <v>1.7</v>
      </c>
      <c r="D26" s="3">
        <f t="shared" si="4"/>
        <v>4.4565462758543006E-2</v>
      </c>
      <c r="E26" s="3">
        <f t="shared" si="4"/>
        <v>4.3632936524031884E-2</v>
      </c>
      <c r="F26" s="3">
        <f t="shared" si="4"/>
        <v>4.2716220791328863E-2</v>
      </c>
      <c r="G26" s="3">
        <f t="shared" si="4"/>
        <v>4.1815137613594899E-2</v>
      </c>
      <c r="H26" s="3">
        <f t="shared" si="4"/>
        <v>4.0929508978807316E-2</v>
      </c>
      <c r="I26" s="3">
        <f t="shared" si="4"/>
        <v>4.0059156863817114E-2</v>
      </c>
      <c r="J26" s="3">
        <f t="shared" si="4"/>
        <v>3.9203903287482689E-2</v>
      </c>
      <c r="K26" s="3">
        <f t="shared" si="4"/>
        <v>3.8363570362871191E-2</v>
      </c>
      <c r="L26" s="3">
        <f t="shared" si="4"/>
        <v>3.7537980348516742E-2</v>
      </c>
      <c r="M26" s="4">
        <f t="shared" si="4"/>
        <v>3.6726955698726305E-2</v>
      </c>
    </row>
    <row r="27" spans="3:13" ht="15" customHeight="1">
      <c r="C27" s="2">
        <v>1.8</v>
      </c>
      <c r="D27" s="3">
        <f t="shared" si="4"/>
        <v>3.5930319112925768E-2</v>
      </c>
      <c r="E27" s="3">
        <f t="shared" si="4"/>
        <v>3.5147893584038803E-2</v>
      </c>
      <c r="F27" s="3">
        <f t="shared" si="4"/>
        <v>3.4379502445889942E-2</v>
      </c>
      <c r="G27" s="3">
        <f t="shared" si="4"/>
        <v>3.3624969419628337E-2</v>
      </c>
      <c r="H27" s="3">
        <f t="shared" si="4"/>
        <v>3.2884118659163852E-2</v>
      </c>
      <c r="I27" s="3">
        <f t="shared" si="4"/>
        <v>3.2156774795613741E-2</v>
      </c>
      <c r="J27" s="3">
        <f t="shared" si="4"/>
        <v>3.1442762980752659E-2</v>
      </c>
      <c r="K27" s="3">
        <f t="shared" si="4"/>
        <v>3.0741908929465933E-2</v>
      </c>
      <c r="L27" s="3">
        <f t="shared" si="4"/>
        <v>3.0054038961199736E-2</v>
      </c>
      <c r="M27" s="4">
        <f t="shared" si="4"/>
        <v>2.9378980040409397E-2</v>
      </c>
    </row>
    <row r="28" spans="3:13" ht="15" customHeight="1">
      <c r="C28" s="2">
        <v>1.9</v>
      </c>
      <c r="D28" s="3">
        <f t="shared" si="4"/>
        <v>2.8716559816001852E-2</v>
      </c>
      <c r="E28" s="3">
        <f t="shared" si="4"/>
        <v>2.8066606659772564E-2</v>
      </c>
      <c r="F28" s="3">
        <f t="shared" si="4"/>
        <v>2.7428949703836802E-2</v>
      </c>
      <c r="G28" s="3">
        <f t="shared" si="4"/>
        <v>2.6803418877054952E-2</v>
      </c>
      <c r="H28" s="3">
        <f t="shared" si="4"/>
        <v>2.6189844940452733E-2</v>
      </c>
      <c r="I28" s="3">
        <f t="shared" si="4"/>
        <v>2.5588059521638562E-2</v>
      </c>
      <c r="J28" s="3">
        <f t="shared" si="4"/>
        <v>2.4997895148220484E-2</v>
      </c>
      <c r="K28" s="3">
        <f t="shared" si="4"/>
        <v>2.4419185280222577E-2</v>
      </c>
      <c r="L28" s="3">
        <f t="shared" si="4"/>
        <v>2.3851764341508486E-2</v>
      </c>
      <c r="M28" s="4">
        <f t="shared" si="4"/>
        <v>2.3295467750211851E-2</v>
      </c>
    </row>
    <row r="29" spans="3:13" ht="15" customHeight="1">
      <c r="C29" s="2">
        <v>2</v>
      </c>
      <c r="D29" s="3">
        <f t="shared" si="4"/>
        <v>2.2750131948179209E-2</v>
      </c>
      <c r="E29" s="3">
        <f t="shared" si="4"/>
        <v>2.221559442943144E-2</v>
      </c>
      <c r="F29" s="3">
        <f t="shared" si="4"/>
        <v>2.1691693767646791E-2</v>
      </c>
      <c r="G29" s="3">
        <f t="shared" si="4"/>
        <v>2.1178269642672221E-2</v>
      </c>
      <c r="H29" s="3">
        <f t="shared" si="4"/>
        <v>2.0675162866070074E-2</v>
      </c>
      <c r="I29" s="3">
        <f t="shared" si="4"/>
        <v>2.0182215405704418E-2</v>
      </c>
      <c r="J29" s="3">
        <f t="shared" si="4"/>
        <v>1.9699270409376912E-2</v>
      </c>
      <c r="K29" s="3">
        <f t="shared" si="4"/>
        <v>1.9226172227517324E-2</v>
      </c>
      <c r="L29" s="3">
        <f t="shared" si="4"/>
        <v>1.8762766434937794E-2</v>
      </c>
      <c r="M29" s="4">
        <f t="shared" si="4"/>
        <v>1.8308899851658955E-2</v>
      </c>
    </row>
    <row r="30" spans="3:13" ht="15" customHeight="1">
      <c r="C30" s="2"/>
      <c r="D30" s="5"/>
      <c r="E30" s="5"/>
      <c r="F30" s="5"/>
      <c r="G30" s="5"/>
      <c r="H30" s="5"/>
      <c r="I30" s="5"/>
      <c r="J30" s="5"/>
      <c r="K30" s="5"/>
      <c r="L30" s="5"/>
      <c r="M30" s="6"/>
    </row>
    <row r="31" spans="3:13" ht="15" customHeight="1">
      <c r="C31" s="2">
        <v>2.1</v>
      </c>
      <c r="D31" s="3">
        <f t="shared" ref="D31:M35" si="5">1-_xlfn.NORM.DIST($C31+D$4,0,1,TRUE)</f>
        <v>1.7864420562816563E-2</v>
      </c>
      <c r="E31" s="3">
        <f t="shared" si="5"/>
        <v>1.7429177937657081E-2</v>
      </c>
      <c r="F31" s="3">
        <f t="shared" si="5"/>
        <v>1.700302264763276E-2</v>
      </c>
      <c r="G31" s="3">
        <f t="shared" si="5"/>
        <v>1.6585806683604987E-2</v>
      </c>
      <c r="H31" s="3">
        <f t="shared" si="5"/>
        <v>1.6177383372166121E-2</v>
      </c>
      <c r="I31" s="3">
        <f t="shared" si="5"/>
        <v>1.5777607391090465E-2</v>
      </c>
      <c r="J31" s="3">
        <f t="shared" si="5"/>
        <v>1.5386334783925482E-2</v>
      </c>
      <c r="K31" s="3">
        <f t="shared" si="5"/>
        <v>1.500342297373225E-2</v>
      </c>
      <c r="L31" s="3">
        <f t="shared" si="5"/>
        <v>1.4628730775989252E-2</v>
      </c>
      <c r="M31" s="4">
        <f t="shared" si="5"/>
        <v>1.4262118410668823E-2</v>
      </c>
    </row>
    <row r="32" spans="3:13" ht="15" customHeight="1">
      <c r="C32" s="2">
        <v>2.2000000000000002</v>
      </c>
      <c r="D32" s="3">
        <f t="shared" si="5"/>
        <v>1.390344751349859E-2</v>
      </c>
      <c r="E32" s="3">
        <f t="shared" si="5"/>
        <v>1.3552581146419995E-2</v>
      </c>
      <c r="F32" s="3">
        <f t="shared" si="5"/>
        <v>1.3209383807256225E-2</v>
      </c>
      <c r="G32" s="3">
        <f t="shared" si="5"/>
        <v>1.2873721438601993E-2</v>
      </c>
      <c r="H32" s="3">
        <f t="shared" si="5"/>
        <v>1.2545461435946592E-2</v>
      </c>
      <c r="I32" s="3">
        <f t="shared" si="5"/>
        <v>1.2224472655044671E-2</v>
      </c>
      <c r="J32" s="3">
        <f t="shared" si="5"/>
        <v>1.1910625418547038E-2</v>
      </c>
      <c r="K32" s="3">
        <f t="shared" si="5"/>
        <v>1.1603791521903495E-2</v>
      </c>
      <c r="L32" s="3">
        <f t="shared" si="5"/>
        <v>1.1303844238552796E-2</v>
      </c>
      <c r="M32" s="4">
        <f t="shared" si="5"/>
        <v>1.1010658324411393E-2</v>
      </c>
    </row>
    <row r="33" spans="3:13" ht="15" customHeight="1">
      <c r="C33" s="2">
        <v>2.2999999999999998</v>
      </c>
      <c r="D33" s="3">
        <f t="shared" si="5"/>
        <v>1.0724110021675837E-2</v>
      </c>
      <c r="E33" s="3">
        <f t="shared" si="5"/>
        <v>1.0444077061951051E-2</v>
      </c>
      <c r="F33" s="3">
        <f t="shared" si="5"/>
        <v>1.0170438668719695E-2</v>
      </c>
      <c r="G33" s="3">
        <f t="shared" si="5"/>
        <v>9.9030755591642539E-3</v>
      </c>
      <c r="H33" s="3">
        <f t="shared" si="5"/>
        <v>9.6418699453583168E-3</v>
      </c>
      <c r="I33" s="3">
        <f t="shared" si="5"/>
        <v>9.3867055348385575E-3</v>
      </c>
      <c r="J33" s="3">
        <f t="shared" si="5"/>
        <v>9.1374675305726516E-3</v>
      </c>
      <c r="K33" s="3">
        <f t="shared" si="5"/>
        <v>8.8940426303367737E-3</v>
      </c>
      <c r="L33" s="3">
        <f t="shared" si="5"/>
        <v>8.6563190255165567E-3</v>
      </c>
      <c r="M33" s="4">
        <f t="shared" si="5"/>
        <v>8.4241863993457233E-3</v>
      </c>
    </row>
    <row r="34" spans="3:13" ht="15" customHeight="1">
      <c r="C34" s="2">
        <v>2.4</v>
      </c>
      <c r="D34" s="3">
        <f t="shared" si="5"/>
        <v>8.1975359245961554E-3</v>
      </c>
      <c r="E34" s="3">
        <f t="shared" si="5"/>
        <v>7.9762602607337252E-3</v>
      </c>
      <c r="F34" s="3">
        <f t="shared" si="5"/>
        <v>7.760253550553653E-3</v>
      </c>
      <c r="G34" s="3">
        <f t="shared" si="5"/>
        <v>7.5494114163091597E-3</v>
      </c>
      <c r="H34" s="3">
        <f t="shared" si="5"/>
        <v>7.3436309553482904E-3</v>
      </c>
      <c r="I34" s="3">
        <f t="shared" si="5"/>
        <v>7.1428107352714543E-3</v>
      </c>
      <c r="J34" s="3">
        <f t="shared" si="5"/>
        <v>6.9468507886243369E-3</v>
      </c>
      <c r="K34" s="3">
        <f t="shared" si="5"/>
        <v>6.7556526071406164E-3</v>
      </c>
      <c r="L34" s="3">
        <f t="shared" si="5"/>
        <v>6.5691191355468082E-3</v>
      </c>
      <c r="M34" s="4">
        <f t="shared" si="5"/>
        <v>6.3871547649432259E-3</v>
      </c>
    </row>
    <row r="35" spans="3:13" ht="15" customHeight="1">
      <c r="C35" s="2">
        <v>2.5</v>
      </c>
      <c r="D35" s="3">
        <f t="shared" si="5"/>
        <v>6.2096653257761592E-3</v>
      </c>
      <c r="E35" s="3">
        <f t="shared" si="5"/>
        <v>6.0365580804127017E-3</v>
      </c>
      <c r="F35" s="3">
        <f t="shared" si="5"/>
        <v>5.8677417153325528E-3</v>
      </c>
      <c r="G35" s="3">
        <f t="shared" si="5"/>
        <v>5.7031263329506698E-3</v>
      </c>
      <c r="H35" s="3">
        <f t="shared" si="5"/>
        <v>5.5426234430826504E-3</v>
      </c>
      <c r="I35" s="3">
        <f t="shared" si="5"/>
        <v>5.3861459540667234E-3</v>
      </c>
      <c r="J35" s="3">
        <f t="shared" si="5"/>
        <v>5.2336081635557807E-3</v>
      </c>
      <c r="K35" s="3">
        <f t="shared" si="5"/>
        <v>5.0849257489909983E-3</v>
      </c>
      <c r="L35" s="3">
        <f t="shared" si="5"/>
        <v>4.9400157577705883E-3</v>
      </c>
      <c r="M35" s="4">
        <f t="shared" si="5"/>
        <v>4.7987965971262314E-3</v>
      </c>
    </row>
    <row r="36" spans="3:13" ht="15" customHeight="1">
      <c r="C36" s="2"/>
      <c r="D36" s="5"/>
      <c r="E36" s="5"/>
      <c r="F36" s="5"/>
      <c r="G36" s="5"/>
      <c r="H36" s="5"/>
      <c r="I36" s="5"/>
      <c r="J36" s="5"/>
      <c r="K36" s="5"/>
      <c r="L36" s="5"/>
      <c r="M36" s="6"/>
    </row>
    <row r="37" spans="3:13" ht="15" customHeight="1">
      <c r="C37" s="2">
        <v>2.6</v>
      </c>
      <c r="D37" s="3">
        <f t="shared" ref="D37:M41" si="6">1-_xlfn.NORM.DIST($C37+D$4,0,1,TRUE)</f>
        <v>4.661188023718732E-3</v>
      </c>
      <c r="E37" s="3">
        <f t="shared" si="6"/>
        <v>4.5271111329673319E-3</v>
      </c>
      <c r="F37" s="3">
        <f t="shared" si="6"/>
        <v>4.3964883481213413E-3</v>
      </c>
      <c r="G37" s="3">
        <f t="shared" si="6"/>
        <v>4.2692434090892961E-3</v>
      </c>
      <c r="H37" s="3">
        <f t="shared" si="6"/>
        <v>4.14530136103608E-3</v>
      </c>
      <c r="I37" s="3">
        <f t="shared" si="6"/>
        <v>4.0245885427583339E-3</v>
      </c>
      <c r="J37" s="3">
        <f t="shared" si="6"/>
        <v>3.907032574852809E-3</v>
      </c>
      <c r="K37" s="3">
        <f t="shared" si="6"/>
        <v>3.7925623476854353E-3</v>
      </c>
      <c r="L37" s="3">
        <f t="shared" si="6"/>
        <v>3.6811080091749826E-3</v>
      </c>
      <c r="M37" s="4">
        <f t="shared" si="6"/>
        <v>3.5726009523997515E-3</v>
      </c>
    </row>
    <row r="38" spans="3:13" ht="15" customHeight="1">
      <c r="C38" s="2">
        <v>2.7</v>
      </c>
      <c r="D38" s="3">
        <f t="shared" si="6"/>
        <v>3.4669738030406183E-3</v>
      </c>
      <c r="E38" s="3">
        <f t="shared" si="6"/>
        <v>3.3641604066692032E-3</v>
      </c>
      <c r="F38" s="3">
        <f t="shared" si="6"/>
        <v>3.2640958158912659E-3</v>
      </c>
      <c r="G38" s="3">
        <f t="shared" si="6"/>
        <v>3.1667162773577617E-3</v>
      </c>
      <c r="H38" s="3">
        <f t="shared" si="6"/>
        <v>3.0719592186504441E-3</v>
      </c>
      <c r="I38" s="3">
        <f t="shared" si="6"/>
        <v>2.9797632350545555E-3</v>
      </c>
      <c r="J38" s="3">
        <f t="shared" si="6"/>
        <v>2.8900680762261599E-3</v>
      </c>
      <c r="K38" s="3">
        <f t="shared" si="6"/>
        <v>2.8028146327649939E-3</v>
      </c>
      <c r="L38" s="3">
        <f t="shared" si="6"/>
        <v>2.7179449227012764E-3</v>
      </c>
      <c r="M38" s="4">
        <f t="shared" si="6"/>
        <v>2.6354020779049137E-3</v>
      </c>
    </row>
    <row r="39" spans="3:13" ht="15" customHeight="1">
      <c r="C39" s="2">
        <v>2.8</v>
      </c>
      <c r="D39" s="3">
        <f t="shared" si="6"/>
        <v>2.5551303304279793E-3</v>
      </c>
      <c r="E39" s="3">
        <f t="shared" si="6"/>
        <v>2.4770749987859109E-3</v>
      </c>
      <c r="F39" s="3">
        <f t="shared" si="6"/>
        <v>2.4011824741893006E-3</v>
      </c>
      <c r="G39" s="3">
        <f t="shared" si="6"/>
        <v>2.3274002067315003E-3</v>
      </c>
      <c r="H39" s="3">
        <f t="shared" si="6"/>
        <v>2.2556766915423632E-3</v>
      </c>
      <c r="I39" s="3">
        <f t="shared" si="6"/>
        <v>2.1859614549132322E-3</v>
      </c>
      <c r="J39" s="3">
        <f t="shared" si="6"/>
        <v>2.1182050404046082E-3</v>
      </c>
      <c r="K39" s="3">
        <f t="shared" si="6"/>
        <v>2.0523589949397181E-3</v>
      </c>
      <c r="L39" s="3">
        <f t="shared" si="6"/>
        <v>1.9883758548943087E-3</v>
      </c>
      <c r="M39" s="4">
        <f t="shared" si="6"/>
        <v>1.9262091321878838E-3</v>
      </c>
    </row>
    <row r="40" spans="3:13" ht="15" customHeight="1">
      <c r="C40" s="2">
        <v>2.9</v>
      </c>
      <c r="D40" s="3">
        <f t="shared" si="6"/>
        <v>1.8658133003840449E-3</v>
      </c>
      <c r="E40" s="3">
        <f t="shared" si="6"/>
        <v>1.8071437808064861E-3</v>
      </c>
      <c r="F40" s="3">
        <f t="shared" si="6"/>
        <v>1.7501569286760832E-3</v>
      </c>
      <c r="G40" s="3">
        <f t="shared" si="6"/>
        <v>1.694810019277293E-3</v>
      </c>
      <c r="H40" s="3">
        <f t="shared" si="6"/>
        <v>1.6410612341569708E-3</v>
      </c>
      <c r="I40" s="3">
        <f t="shared" si="6"/>
        <v>1.5888696473648212E-3</v>
      </c>
      <c r="J40" s="3">
        <f t="shared" si="6"/>
        <v>1.538195211738036E-3</v>
      </c>
      <c r="K40" s="3">
        <f t="shared" si="6"/>
        <v>1.4889987452374465E-3</v>
      </c>
      <c r="L40" s="3">
        <f t="shared" si="6"/>
        <v>1.4412419173399638E-3</v>
      </c>
      <c r="M40" s="4">
        <f t="shared" si="6"/>
        <v>1.3948872354923036E-3</v>
      </c>
    </row>
    <row r="41" spans="3:13" ht="15" customHeight="1" thickBot="1">
      <c r="C41" s="7">
        <v>3</v>
      </c>
      <c r="D41" s="8">
        <f t="shared" si="6"/>
        <v>1.3498980316301035E-3</v>
      </c>
      <c r="E41" s="8">
        <f t="shared" si="6"/>
        <v>1.3062384487694256E-3</v>
      </c>
      <c r="F41" s="8">
        <f t="shared" si="6"/>
        <v>1.2638734276723129E-3</v>
      </c>
      <c r="G41" s="8">
        <f t="shared" si="6"/>
        <v>1.2227686935922799E-3</v>
      </c>
      <c r="H41" s="8">
        <f t="shared" si="6"/>
        <v>1.1828907431044033E-3</v>
      </c>
      <c r="I41" s="8">
        <f t="shared" si="6"/>
        <v>1.1442068310226761E-3</v>
      </c>
      <c r="J41" s="8">
        <f t="shared" si="6"/>
        <v>1.1066849574092874E-3</v>
      </c>
      <c r="K41" s="8">
        <f t="shared" si="6"/>
        <v>1.0702938546789387E-3</v>
      </c>
      <c r="L41" s="8">
        <f t="shared" si="6"/>
        <v>1.0350029748028566E-3</v>
      </c>
      <c r="M41" s="9">
        <f t="shared" si="6"/>
        <v>1.0007824766140594E-3</v>
      </c>
    </row>
    <row r="42" spans="3:13" ht="15" customHeight="1" thickTop="1"/>
  </sheetData>
  <mergeCells count="1">
    <mergeCell ref="C2:M2"/>
  </mergeCells>
  <phoneticPr fontId="1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C15DFF-0D90-4D70-AD2F-850678BDB105}">
  <dimension ref="C2:L47"/>
  <sheetViews>
    <sheetView showGridLines="0" zoomScale="70" zoomScaleNormal="70" workbookViewId="0"/>
  </sheetViews>
  <sheetFormatPr defaultRowHeight="15" customHeight="1"/>
  <cols>
    <col min="1" max="1" width="8.6640625" style="1"/>
    <col min="2" max="4" width="3.58203125" style="1" customWidth="1"/>
    <col min="5" max="12" width="8.6640625" style="1"/>
    <col min="13" max="13" width="3.58203125" style="1" customWidth="1"/>
    <col min="14" max="16384" width="8.6640625" style="1"/>
  </cols>
  <sheetData>
    <row r="2" spans="3:12" ht="15" customHeight="1">
      <c r="C2" s="100" t="s">
        <v>2</v>
      </c>
      <c r="D2" s="100"/>
      <c r="E2" s="100"/>
      <c r="F2" s="100"/>
      <c r="G2" s="100"/>
      <c r="H2" s="100"/>
      <c r="I2" s="100"/>
      <c r="J2" s="100"/>
      <c r="K2" s="100"/>
      <c r="L2" s="100"/>
    </row>
    <row r="3" spans="3:12" ht="15" customHeight="1" thickBot="1"/>
    <row r="4" spans="3:12" ht="15" customHeight="1" thickTop="1">
      <c r="C4" s="13"/>
      <c r="D4" s="14" t="s">
        <v>3</v>
      </c>
      <c r="E4" s="105">
        <v>0.25</v>
      </c>
      <c r="F4" s="105">
        <v>0.2</v>
      </c>
      <c r="G4" s="105">
        <v>0.1</v>
      </c>
      <c r="H4" s="105">
        <v>0.05</v>
      </c>
      <c r="I4" s="105">
        <v>2.5000000000000001E-2</v>
      </c>
      <c r="J4" s="105">
        <v>0.01</v>
      </c>
      <c r="K4" s="105">
        <v>5.0000000000000001E-3</v>
      </c>
      <c r="L4" s="107">
        <v>5.0000000000000001E-4</v>
      </c>
    </row>
    <row r="5" spans="3:12" ht="15" customHeight="1">
      <c r="C5" s="15" t="s">
        <v>4</v>
      </c>
      <c r="D5" s="16"/>
      <c r="E5" s="106"/>
      <c r="F5" s="106"/>
      <c r="G5" s="106"/>
      <c r="H5" s="106"/>
      <c r="I5" s="106"/>
      <c r="J5" s="106"/>
      <c r="K5" s="106"/>
      <c r="L5" s="108"/>
    </row>
    <row r="6" spans="3:12" ht="15" customHeight="1">
      <c r="C6" s="101">
        <v>1</v>
      </c>
      <c r="D6" s="102"/>
      <c r="E6" s="3">
        <f t="shared" ref="E6:L10" si="0">ABS(_xlfn.T.INV(E$4,$C6))</f>
        <v>1</v>
      </c>
      <c r="F6" s="3">
        <f t="shared" si="0"/>
        <v>1.3763819204711736</v>
      </c>
      <c r="G6" s="3">
        <f t="shared" si="0"/>
        <v>3.077683537175254</v>
      </c>
      <c r="H6" s="3">
        <f t="shared" si="0"/>
        <v>6.3137515146750438</v>
      </c>
      <c r="I6" s="3">
        <f t="shared" si="0"/>
        <v>12.706204736174707</v>
      </c>
      <c r="J6" s="3">
        <f t="shared" si="0"/>
        <v>31.820515953773956</v>
      </c>
      <c r="K6" s="3">
        <f t="shared" si="0"/>
        <v>63.656741162871583</v>
      </c>
      <c r="L6" s="17">
        <f t="shared" si="0"/>
        <v>636.61924876871956</v>
      </c>
    </row>
    <row r="7" spans="3:12" ht="15" customHeight="1">
      <c r="C7" s="101">
        <v>2</v>
      </c>
      <c r="D7" s="102"/>
      <c r="E7" s="3">
        <f t="shared" si="0"/>
        <v>0.81649658092772592</v>
      </c>
      <c r="F7" s="3">
        <f t="shared" si="0"/>
        <v>1.0606601717798212</v>
      </c>
      <c r="G7" s="3">
        <f t="shared" si="0"/>
        <v>1.8856180831641267</v>
      </c>
      <c r="H7" s="3">
        <f t="shared" si="0"/>
        <v>2.9199855803537269</v>
      </c>
      <c r="I7" s="3">
        <f t="shared" si="0"/>
        <v>4.3026527297494637</v>
      </c>
      <c r="J7" s="3">
        <f t="shared" si="0"/>
        <v>6.9645567342832733</v>
      </c>
      <c r="K7" s="3">
        <f t="shared" si="0"/>
        <v>9.9248432009182928</v>
      </c>
      <c r="L7" s="4">
        <f t="shared" si="0"/>
        <v>31.599054576443621</v>
      </c>
    </row>
    <row r="8" spans="3:12" ht="15" customHeight="1">
      <c r="C8" s="101">
        <v>3</v>
      </c>
      <c r="D8" s="102"/>
      <c r="E8" s="3">
        <f t="shared" si="0"/>
        <v>0.76489232840434507</v>
      </c>
      <c r="F8" s="3">
        <f t="shared" si="0"/>
        <v>0.97847231236330467</v>
      </c>
      <c r="G8" s="3">
        <f t="shared" si="0"/>
        <v>1.63774435369621</v>
      </c>
      <c r="H8" s="3">
        <f t="shared" si="0"/>
        <v>2.3533634348018233</v>
      </c>
      <c r="I8" s="3">
        <f t="shared" si="0"/>
        <v>3.1824463052837091</v>
      </c>
      <c r="J8" s="3">
        <f t="shared" si="0"/>
        <v>4.5407028585681335</v>
      </c>
      <c r="K8" s="3">
        <f t="shared" si="0"/>
        <v>5.8409093097333571</v>
      </c>
      <c r="L8" s="4">
        <f t="shared" si="0"/>
        <v>12.923978636687485</v>
      </c>
    </row>
    <row r="9" spans="3:12" ht="15" customHeight="1">
      <c r="C9" s="101">
        <v>4</v>
      </c>
      <c r="D9" s="102"/>
      <c r="E9" s="3">
        <f t="shared" si="0"/>
        <v>0.74069708411268287</v>
      </c>
      <c r="F9" s="3">
        <f t="shared" si="0"/>
        <v>0.94096457723518057</v>
      </c>
      <c r="G9" s="3">
        <f t="shared" si="0"/>
        <v>1.5332062740589443</v>
      </c>
      <c r="H9" s="3">
        <f t="shared" si="0"/>
        <v>2.1318467863266499</v>
      </c>
      <c r="I9" s="3">
        <f t="shared" si="0"/>
        <v>2.7764451051977934</v>
      </c>
      <c r="J9" s="3">
        <f t="shared" si="0"/>
        <v>3.7469473879791968</v>
      </c>
      <c r="K9" s="3">
        <f t="shared" si="0"/>
        <v>4.604094871349993</v>
      </c>
      <c r="L9" s="4">
        <f t="shared" si="0"/>
        <v>8.6103015813792751</v>
      </c>
    </row>
    <row r="10" spans="3:12" ht="15" customHeight="1">
      <c r="C10" s="101">
        <v>5</v>
      </c>
      <c r="D10" s="102"/>
      <c r="E10" s="3">
        <f t="shared" si="0"/>
        <v>0.72668684380042159</v>
      </c>
      <c r="F10" s="3">
        <f t="shared" si="0"/>
        <v>0.91954378024082584</v>
      </c>
      <c r="G10" s="3">
        <f t="shared" si="0"/>
        <v>1.4758840488244813</v>
      </c>
      <c r="H10" s="3">
        <f t="shared" si="0"/>
        <v>2.0150483733330233</v>
      </c>
      <c r="I10" s="3">
        <f t="shared" si="0"/>
        <v>2.570581835636315</v>
      </c>
      <c r="J10" s="3">
        <f t="shared" si="0"/>
        <v>3.3649299989072183</v>
      </c>
      <c r="K10" s="3">
        <f t="shared" si="0"/>
        <v>4.0321429835552278</v>
      </c>
      <c r="L10" s="4">
        <f t="shared" si="0"/>
        <v>6.8688266258811099</v>
      </c>
    </row>
    <row r="11" spans="3:12" ht="15" customHeight="1">
      <c r="C11" s="101"/>
      <c r="D11" s="102"/>
      <c r="E11" s="5"/>
      <c r="F11" s="5"/>
      <c r="G11" s="5"/>
      <c r="H11" s="5"/>
      <c r="I11" s="5"/>
      <c r="J11" s="5"/>
      <c r="K11" s="5"/>
      <c r="L11" s="6"/>
    </row>
    <row r="12" spans="3:12" ht="15" customHeight="1">
      <c r="C12" s="101">
        <v>6</v>
      </c>
      <c r="D12" s="102"/>
      <c r="E12" s="3">
        <f t="shared" ref="E12:L16" si="1">ABS(_xlfn.T.INV(E$4,$C12))</f>
        <v>0.71755819649141217</v>
      </c>
      <c r="F12" s="3">
        <f t="shared" si="1"/>
        <v>0.905703285180531</v>
      </c>
      <c r="G12" s="3">
        <f t="shared" si="1"/>
        <v>1.4397557472651481</v>
      </c>
      <c r="H12" s="3">
        <f t="shared" si="1"/>
        <v>1.9431802805153031</v>
      </c>
      <c r="I12" s="3">
        <f t="shared" si="1"/>
        <v>2.4469118511449697</v>
      </c>
      <c r="J12" s="3">
        <f t="shared" si="1"/>
        <v>3.1426684032909828</v>
      </c>
      <c r="K12" s="3">
        <f t="shared" si="1"/>
        <v>3.7074280213247794</v>
      </c>
      <c r="L12" s="4">
        <f t="shared" si="1"/>
        <v>5.9588161788187586</v>
      </c>
    </row>
    <row r="13" spans="3:12" ht="15" customHeight="1">
      <c r="C13" s="101">
        <v>7</v>
      </c>
      <c r="D13" s="102"/>
      <c r="E13" s="3">
        <f t="shared" si="1"/>
        <v>0.71114177808178591</v>
      </c>
      <c r="F13" s="3">
        <f t="shared" si="1"/>
        <v>0.89602964431376519</v>
      </c>
      <c r="G13" s="3">
        <f t="shared" si="1"/>
        <v>1.4149239276505079</v>
      </c>
      <c r="H13" s="3">
        <f t="shared" si="1"/>
        <v>1.8945786050900073</v>
      </c>
      <c r="I13" s="3">
        <f t="shared" si="1"/>
        <v>2.3646242515927849</v>
      </c>
      <c r="J13" s="3">
        <f t="shared" si="1"/>
        <v>2.997951566868529</v>
      </c>
      <c r="K13" s="3">
        <f t="shared" si="1"/>
        <v>3.4994832973504946</v>
      </c>
      <c r="L13" s="4">
        <f t="shared" si="1"/>
        <v>5.4078825208617252</v>
      </c>
    </row>
    <row r="14" spans="3:12" ht="15" customHeight="1">
      <c r="C14" s="101">
        <v>8</v>
      </c>
      <c r="D14" s="102"/>
      <c r="E14" s="3">
        <f t="shared" si="1"/>
        <v>0.70638661264483749</v>
      </c>
      <c r="F14" s="3">
        <f t="shared" si="1"/>
        <v>0.88888951776701974</v>
      </c>
      <c r="G14" s="3">
        <f t="shared" si="1"/>
        <v>1.3968153097438645</v>
      </c>
      <c r="H14" s="3">
        <f t="shared" si="1"/>
        <v>1.8595480375308981</v>
      </c>
      <c r="I14" s="3">
        <f t="shared" si="1"/>
        <v>2.3060041352041671</v>
      </c>
      <c r="J14" s="3">
        <f t="shared" si="1"/>
        <v>2.8964594477096224</v>
      </c>
      <c r="K14" s="3">
        <f t="shared" si="1"/>
        <v>3.3553873313333953</v>
      </c>
      <c r="L14" s="4">
        <f t="shared" si="1"/>
        <v>5.0413054333733669</v>
      </c>
    </row>
    <row r="15" spans="3:12" ht="15" customHeight="1">
      <c r="C15" s="101">
        <v>9</v>
      </c>
      <c r="D15" s="102"/>
      <c r="E15" s="3">
        <f t="shared" si="1"/>
        <v>0.70272214675132494</v>
      </c>
      <c r="F15" s="3">
        <f t="shared" si="1"/>
        <v>0.8834038596855347</v>
      </c>
      <c r="G15" s="3">
        <f t="shared" si="1"/>
        <v>1.383028738396632</v>
      </c>
      <c r="H15" s="3">
        <f t="shared" si="1"/>
        <v>1.8331129326562374</v>
      </c>
      <c r="I15" s="3">
        <f t="shared" si="1"/>
        <v>2.2621571627982053</v>
      </c>
      <c r="J15" s="3">
        <f t="shared" si="1"/>
        <v>2.8214379250258084</v>
      </c>
      <c r="K15" s="3">
        <f t="shared" si="1"/>
        <v>3.2498355415921263</v>
      </c>
      <c r="L15" s="4">
        <f t="shared" si="1"/>
        <v>4.7809125859311381</v>
      </c>
    </row>
    <row r="16" spans="3:12" ht="15" customHeight="1">
      <c r="C16" s="101">
        <v>10</v>
      </c>
      <c r="D16" s="102"/>
      <c r="E16" s="3">
        <f t="shared" si="1"/>
        <v>0.69981206131243168</v>
      </c>
      <c r="F16" s="3">
        <f t="shared" si="1"/>
        <v>0.87905782855058789</v>
      </c>
      <c r="G16" s="3">
        <f t="shared" si="1"/>
        <v>1.3721836411103363</v>
      </c>
      <c r="H16" s="3">
        <f t="shared" si="1"/>
        <v>1.812461122811676</v>
      </c>
      <c r="I16" s="3">
        <f t="shared" si="1"/>
        <v>2.2281388519862744</v>
      </c>
      <c r="J16" s="3">
        <f t="shared" si="1"/>
        <v>2.7637694581126966</v>
      </c>
      <c r="K16" s="3">
        <f t="shared" si="1"/>
        <v>3.1692726726169518</v>
      </c>
      <c r="L16" s="4">
        <f t="shared" si="1"/>
        <v>4.586893858702636</v>
      </c>
    </row>
    <row r="17" spans="3:12" ht="15" customHeight="1">
      <c r="C17" s="101"/>
      <c r="D17" s="102"/>
      <c r="E17" s="5"/>
      <c r="F17" s="5"/>
      <c r="G17" s="5"/>
      <c r="H17" s="5"/>
      <c r="I17" s="5"/>
      <c r="J17" s="5"/>
      <c r="K17" s="5"/>
      <c r="L17" s="6"/>
    </row>
    <row r="18" spans="3:12" ht="15" customHeight="1">
      <c r="C18" s="101">
        <v>11</v>
      </c>
      <c r="D18" s="102"/>
      <c r="E18" s="3">
        <f t="shared" ref="E18:L22" si="2">ABS(_xlfn.T.INV(E$4,$C18))</f>
        <v>0.69744532755988053</v>
      </c>
      <c r="F18" s="3">
        <f t="shared" si="2"/>
        <v>0.87552997807388222</v>
      </c>
      <c r="G18" s="3">
        <f t="shared" si="2"/>
        <v>1.3634303180205409</v>
      </c>
      <c r="H18" s="3">
        <f t="shared" si="2"/>
        <v>1.7958848187040437</v>
      </c>
      <c r="I18" s="3">
        <f t="shared" si="2"/>
        <v>2.2009851600916384</v>
      </c>
      <c r="J18" s="3">
        <f t="shared" si="2"/>
        <v>2.7180791838138614</v>
      </c>
      <c r="K18" s="3">
        <f t="shared" si="2"/>
        <v>3.1058065155392809</v>
      </c>
      <c r="L18" s="4">
        <f t="shared" si="2"/>
        <v>4.4369793382344493</v>
      </c>
    </row>
    <row r="19" spans="3:12" ht="15" customHeight="1">
      <c r="C19" s="101">
        <v>12</v>
      </c>
      <c r="D19" s="102"/>
      <c r="E19" s="3">
        <f t="shared" si="2"/>
        <v>0.69548286551179161</v>
      </c>
      <c r="F19" s="3">
        <f t="shared" si="2"/>
        <v>0.87260929158813794</v>
      </c>
      <c r="G19" s="3">
        <f t="shared" si="2"/>
        <v>1.3562173340232047</v>
      </c>
      <c r="H19" s="3">
        <f t="shared" si="2"/>
        <v>1.7822875556493194</v>
      </c>
      <c r="I19" s="3">
        <f t="shared" si="2"/>
        <v>2.1788128296672284</v>
      </c>
      <c r="J19" s="3">
        <f t="shared" si="2"/>
        <v>2.6809979931209149</v>
      </c>
      <c r="K19" s="3">
        <f t="shared" si="2"/>
        <v>3.0545395893929017</v>
      </c>
      <c r="L19" s="4">
        <f t="shared" si="2"/>
        <v>4.3177912836061845</v>
      </c>
    </row>
    <row r="20" spans="3:12" ht="15" customHeight="1">
      <c r="C20" s="101">
        <v>13</v>
      </c>
      <c r="D20" s="102"/>
      <c r="E20" s="3">
        <f t="shared" si="2"/>
        <v>0.69382930423544042</v>
      </c>
      <c r="F20" s="3">
        <f t="shared" si="2"/>
        <v>0.87015153396817235</v>
      </c>
      <c r="G20" s="3">
        <f t="shared" si="2"/>
        <v>1.3501712887800554</v>
      </c>
      <c r="H20" s="3">
        <f t="shared" si="2"/>
        <v>1.7709333959868729</v>
      </c>
      <c r="I20" s="3">
        <f t="shared" si="2"/>
        <v>2.1603686564627926</v>
      </c>
      <c r="J20" s="3">
        <f t="shared" si="2"/>
        <v>2.650308837912192</v>
      </c>
      <c r="K20" s="3">
        <f t="shared" si="2"/>
        <v>3.0122758387165782</v>
      </c>
      <c r="L20" s="4">
        <f t="shared" si="2"/>
        <v>4.2208317277071208</v>
      </c>
    </row>
    <row r="21" spans="3:12" ht="15" customHeight="1">
      <c r="C21" s="101">
        <v>14</v>
      </c>
      <c r="D21" s="102"/>
      <c r="E21" s="3">
        <f t="shared" si="2"/>
        <v>0.69241706957000537</v>
      </c>
      <c r="F21" s="3">
        <f t="shared" si="2"/>
        <v>0.86805478155742033</v>
      </c>
      <c r="G21" s="3">
        <f t="shared" si="2"/>
        <v>1.3450303744546506</v>
      </c>
      <c r="H21" s="3">
        <f t="shared" si="2"/>
        <v>1.7613101357748921</v>
      </c>
      <c r="I21" s="3">
        <f t="shared" si="2"/>
        <v>2.1447866879178044</v>
      </c>
      <c r="J21" s="3">
        <f t="shared" si="2"/>
        <v>2.6244940675900517</v>
      </c>
      <c r="K21" s="3">
        <f t="shared" si="2"/>
        <v>2.9768427343708348</v>
      </c>
      <c r="L21" s="4">
        <f t="shared" si="2"/>
        <v>4.1404541127382029</v>
      </c>
    </row>
    <row r="22" spans="3:12" ht="15" customHeight="1">
      <c r="C22" s="101">
        <v>15</v>
      </c>
      <c r="D22" s="102"/>
      <c r="E22" s="3">
        <f t="shared" si="2"/>
        <v>0.6911969489584906</v>
      </c>
      <c r="F22" s="3">
        <f t="shared" si="2"/>
        <v>0.86624497319495286</v>
      </c>
      <c r="G22" s="3">
        <f t="shared" si="2"/>
        <v>1.3406056078504547</v>
      </c>
      <c r="H22" s="3">
        <f t="shared" si="2"/>
        <v>1.7530503556925723</v>
      </c>
      <c r="I22" s="3">
        <f t="shared" si="2"/>
        <v>2.1314495455597742</v>
      </c>
      <c r="J22" s="3">
        <f t="shared" si="2"/>
        <v>2.6024802950111221</v>
      </c>
      <c r="K22" s="3">
        <f t="shared" si="2"/>
        <v>2.9467128834752381</v>
      </c>
      <c r="L22" s="4">
        <f t="shared" si="2"/>
        <v>4.0727651959037905</v>
      </c>
    </row>
    <row r="23" spans="3:12" ht="15" customHeight="1">
      <c r="C23" s="101"/>
      <c r="D23" s="102"/>
      <c r="E23" s="5"/>
      <c r="F23" s="5"/>
      <c r="G23" s="5"/>
      <c r="H23" s="5"/>
      <c r="I23" s="5"/>
      <c r="J23" s="5"/>
      <c r="K23" s="5"/>
      <c r="L23" s="6"/>
    </row>
    <row r="24" spans="3:12" ht="15" customHeight="1">
      <c r="C24" s="101">
        <v>16</v>
      </c>
      <c r="D24" s="102"/>
      <c r="E24" s="3">
        <f t="shared" ref="E24:L28" si="3">ABS(_xlfn.T.INV(E$4,$C24))</f>
        <v>0.69013225381055954</v>
      </c>
      <c r="F24" s="3">
        <f t="shared" si="3"/>
        <v>0.86466700179829137</v>
      </c>
      <c r="G24" s="3">
        <f t="shared" si="3"/>
        <v>1.3367571673273144</v>
      </c>
      <c r="H24" s="3">
        <f t="shared" si="3"/>
        <v>1.7458836762762506</v>
      </c>
      <c r="I24" s="3">
        <f t="shared" si="3"/>
        <v>2.119905299221255</v>
      </c>
      <c r="J24" s="3">
        <f t="shared" si="3"/>
        <v>2.5834871852759917</v>
      </c>
      <c r="K24" s="3">
        <f t="shared" si="3"/>
        <v>2.9207816224251002</v>
      </c>
      <c r="L24" s="4">
        <f t="shared" si="3"/>
        <v>4.0149963271840559</v>
      </c>
    </row>
    <row r="25" spans="3:12" ht="15" customHeight="1">
      <c r="C25" s="101">
        <v>17</v>
      </c>
      <c r="D25" s="102"/>
      <c r="E25" s="3">
        <f t="shared" si="3"/>
        <v>0.68919507515393985</v>
      </c>
      <c r="F25" s="3">
        <f t="shared" si="3"/>
        <v>0.86327901742005297</v>
      </c>
      <c r="G25" s="3">
        <f t="shared" si="3"/>
        <v>1.3333793897216262</v>
      </c>
      <c r="H25" s="3">
        <f t="shared" si="3"/>
        <v>1.7396067260750732</v>
      </c>
      <c r="I25" s="3">
        <f t="shared" si="3"/>
        <v>2.109815577833317</v>
      </c>
      <c r="J25" s="3">
        <f t="shared" si="3"/>
        <v>2.5669339837247178</v>
      </c>
      <c r="K25" s="3">
        <f t="shared" si="3"/>
        <v>2.8982305196774178</v>
      </c>
      <c r="L25" s="4">
        <f t="shared" si="3"/>
        <v>3.9651262721190315</v>
      </c>
    </row>
    <row r="26" spans="3:12" ht="15" customHeight="1">
      <c r="C26" s="101">
        <v>18</v>
      </c>
      <c r="D26" s="102"/>
      <c r="E26" s="3">
        <f t="shared" si="3"/>
        <v>0.68836380646620021</v>
      </c>
      <c r="F26" s="3">
        <f t="shared" si="3"/>
        <v>0.86204866798959834</v>
      </c>
      <c r="G26" s="3">
        <f t="shared" si="3"/>
        <v>1.3303909435699084</v>
      </c>
      <c r="H26" s="3">
        <f t="shared" si="3"/>
        <v>1.7340636066175394</v>
      </c>
      <c r="I26" s="3">
        <f t="shared" si="3"/>
        <v>2.1009220402410378</v>
      </c>
      <c r="J26" s="3">
        <f t="shared" si="3"/>
        <v>2.552379630182251</v>
      </c>
      <c r="K26" s="3">
        <f t="shared" si="3"/>
        <v>2.8784404727386073</v>
      </c>
      <c r="L26" s="4">
        <f t="shared" si="3"/>
        <v>3.9216458250851596</v>
      </c>
    </row>
    <row r="27" spans="3:12" ht="15" customHeight="1">
      <c r="C27" s="101">
        <v>19</v>
      </c>
      <c r="D27" s="102"/>
      <c r="E27" s="3">
        <f t="shared" si="3"/>
        <v>0.68762146020395809</v>
      </c>
      <c r="F27" s="3">
        <f t="shared" si="3"/>
        <v>0.86095055026892919</v>
      </c>
      <c r="G27" s="3">
        <f t="shared" si="3"/>
        <v>1.3277282090267981</v>
      </c>
      <c r="H27" s="3">
        <f t="shared" si="3"/>
        <v>1.7291328115213698</v>
      </c>
      <c r="I27" s="3">
        <f t="shared" si="3"/>
        <v>2.0930240544083096</v>
      </c>
      <c r="J27" s="3">
        <f t="shared" si="3"/>
        <v>2.5394831906239612</v>
      </c>
      <c r="K27" s="3">
        <f t="shared" si="3"/>
        <v>2.8609346064649799</v>
      </c>
      <c r="L27" s="4">
        <f t="shared" si="3"/>
        <v>3.883405852592082</v>
      </c>
    </row>
    <row r="28" spans="3:12" ht="15" customHeight="1">
      <c r="C28" s="101">
        <v>20</v>
      </c>
      <c r="D28" s="102"/>
      <c r="E28" s="3">
        <f t="shared" si="3"/>
        <v>0.68695449644880313</v>
      </c>
      <c r="F28" s="3">
        <f t="shared" si="3"/>
        <v>0.85996443973238734</v>
      </c>
      <c r="G28" s="3">
        <f t="shared" si="3"/>
        <v>1.3253407069850465</v>
      </c>
      <c r="H28" s="3">
        <f t="shared" si="3"/>
        <v>1.7247182429207868</v>
      </c>
      <c r="I28" s="3">
        <f t="shared" si="3"/>
        <v>2.0859634472658648</v>
      </c>
      <c r="J28" s="3">
        <f t="shared" si="3"/>
        <v>2.5279770027415731</v>
      </c>
      <c r="K28" s="3">
        <f t="shared" si="3"/>
        <v>2.8453397097861091</v>
      </c>
      <c r="L28" s="4">
        <f t="shared" si="3"/>
        <v>3.8495162749308265</v>
      </c>
    </row>
    <row r="29" spans="3:12" ht="15" customHeight="1">
      <c r="C29" s="101"/>
      <c r="D29" s="102"/>
      <c r="E29" s="5"/>
      <c r="F29" s="5"/>
      <c r="G29" s="5"/>
      <c r="H29" s="5"/>
      <c r="I29" s="5"/>
      <c r="J29" s="5"/>
      <c r="K29" s="5"/>
      <c r="L29" s="6"/>
    </row>
    <row r="30" spans="3:12" ht="15" customHeight="1">
      <c r="C30" s="101">
        <v>21</v>
      </c>
      <c r="D30" s="102"/>
      <c r="E30" s="3">
        <f t="shared" ref="E30:L34" si="4">ABS(_xlfn.T.INV(E$4,$C30))</f>
        <v>0.68635199072695385</v>
      </c>
      <c r="F30" s="3">
        <f t="shared" si="4"/>
        <v>0.85907403519482572</v>
      </c>
      <c r="G30" s="3">
        <f t="shared" si="4"/>
        <v>1.3231878738651732</v>
      </c>
      <c r="H30" s="3">
        <f t="shared" si="4"/>
        <v>1.7207429028118781</v>
      </c>
      <c r="I30" s="3">
        <f t="shared" si="4"/>
        <v>2.07961384472768</v>
      </c>
      <c r="J30" s="3">
        <f t="shared" si="4"/>
        <v>2.5176480160447423</v>
      </c>
      <c r="K30" s="3">
        <f t="shared" si="4"/>
        <v>2.8313595580230499</v>
      </c>
      <c r="L30" s="4">
        <f t="shared" si="4"/>
        <v>3.8192771642744621</v>
      </c>
    </row>
    <row r="31" spans="3:12" ht="15" customHeight="1">
      <c r="C31" s="101">
        <v>22</v>
      </c>
      <c r="D31" s="102"/>
      <c r="E31" s="3">
        <f t="shared" si="4"/>
        <v>0.68580503172188534</v>
      </c>
      <c r="F31" s="3">
        <f t="shared" si="4"/>
        <v>0.85826605165820524</v>
      </c>
      <c r="G31" s="3">
        <f t="shared" si="4"/>
        <v>1.3212367416133624</v>
      </c>
      <c r="H31" s="3">
        <f t="shared" si="4"/>
        <v>1.7171443743802424</v>
      </c>
      <c r="I31" s="3">
        <f t="shared" si="4"/>
        <v>2.0738730679040258</v>
      </c>
      <c r="J31" s="3">
        <f t="shared" si="4"/>
        <v>2.5083245528990807</v>
      </c>
      <c r="K31" s="3">
        <f t="shared" si="4"/>
        <v>2.8187560606001436</v>
      </c>
      <c r="L31" s="4">
        <f t="shared" si="4"/>
        <v>3.79213067169839</v>
      </c>
    </row>
    <row r="32" spans="3:12" ht="15" customHeight="1">
      <c r="C32" s="101">
        <v>23</v>
      </c>
      <c r="D32" s="102"/>
      <c r="E32" s="3">
        <f t="shared" si="4"/>
        <v>0.68530627806129341</v>
      </c>
      <c r="F32" s="3">
        <f t="shared" si="4"/>
        <v>0.85752955368803352</v>
      </c>
      <c r="G32" s="3">
        <f t="shared" si="4"/>
        <v>1.3194602398161621</v>
      </c>
      <c r="H32" s="3">
        <f t="shared" si="4"/>
        <v>1.7138715277470482</v>
      </c>
      <c r="I32" s="3">
        <f t="shared" si="4"/>
        <v>2.0686576104190491</v>
      </c>
      <c r="J32" s="3">
        <f t="shared" si="4"/>
        <v>2.4998667394946681</v>
      </c>
      <c r="K32" s="3">
        <f t="shared" si="4"/>
        <v>2.807335683769999</v>
      </c>
      <c r="L32" s="4">
        <f t="shared" si="4"/>
        <v>3.7676268043117811</v>
      </c>
    </row>
    <row r="33" spans="3:12" ht="15" customHeight="1">
      <c r="C33" s="101">
        <v>24</v>
      </c>
      <c r="D33" s="102"/>
      <c r="E33" s="3">
        <f t="shared" si="4"/>
        <v>0.68484962723698206</v>
      </c>
      <c r="F33" s="3">
        <f t="shared" si="4"/>
        <v>0.85685545807565711</v>
      </c>
      <c r="G33" s="3">
        <f t="shared" si="4"/>
        <v>1.3178359336731498</v>
      </c>
      <c r="H33" s="3">
        <f t="shared" si="4"/>
        <v>1.7108820799094284</v>
      </c>
      <c r="I33" s="3">
        <f t="shared" si="4"/>
        <v>2.0638985616280254</v>
      </c>
      <c r="J33" s="3">
        <f t="shared" si="4"/>
        <v>2.492159473157757</v>
      </c>
      <c r="K33" s="3">
        <f t="shared" si="4"/>
        <v>2.7969395047744556</v>
      </c>
      <c r="L33" s="4">
        <f t="shared" si="4"/>
        <v>3.7453986192900528</v>
      </c>
    </row>
    <row r="34" spans="3:12" ht="15" customHeight="1">
      <c r="C34" s="101">
        <v>25</v>
      </c>
      <c r="D34" s="102"/>
      <c r="E34" s="3">
        <f t="shared" si="4"/>
        <v>0.68442996490426722</v>
      </c>
      <c r="F34" s="3">
        <f t="shared" si="4"/>
        <v>0.85623615767646943</v>
      </c>
      <c r="G34" s="3">
        <f t="shared" si="4"/>
        <v>1.3163450726738706</v>
      </c>
      <c r="H34" s="3">
        <f t="shared" si="4"/>
        <v>1.7081407612518986</v>
      </c>
      <c r="I34" s="3">
        <f t="shared" si="4"/>
        <v>2.0595385527532977</v>
      </c>
      <c r="J34" s="3">
        <f t="shared" si="4"/>
        <v>2.485107175410763</v>
      </c>
      <c r="K34" s="3">
        <f t="shared" si="4"/>
        <v>2.7874358136769706</v>
      </c>
      <c r="L34" s="4">
        <f t="shared" si="4"/>
        <v>3.7251439497286496</v>
      </c>
    </row>
    <row r="35" spans="3:12" ht="15" customHeight="1">
      <c r="C35" s="101"/>
      <c r="D35" s="102"/>
      <c r="E35" s="5"/>
      <c r="F35" s="5"/>
      <c r="G35" s="5"/>
      <c r="H35" s="5"/>
      <c r="I35" s="5"/>
      <c r="J35" s="5"/>
      <c r="K35" s="5"/>
      <c r="L35" s="6"/>
    </row>
    <row r="36" spans="3:12" ht="15" customHeight="1">
      <c r="C36" s="101">
        <v>26</v>
      </c>
      <c r="D36" s="102"/>
      <c r="E36" s="3">
        <f t="shared" ref="E36:L40" si="5">ABS(_xlfn.T.INV(E$4,$C36))</f>
        <v>0.68404297268287217</v>
      </c>
      <c r="F36" s="3">
        <f t="shared" si="5"/>
        <v>0.85566523332816824</v>
      </c>
      <c r="G36" s="3">
        <f t="shared" si="5"/>
        <v>1.3149718642705173</v>
      </c>
      <c r="H36" s="3">
        <f t="shared" si="5"/>
        <v>1.7056179197592738</v>
      </c>
      <c r="I36" s="3">
        <f t="shared" si="5"/>
        <v>2.0555294386428731</v>
      </c>
      <c r="J36" s="3">
        <f t="shared" si="5"/>
        <v>2.4786298235912425</v>
      </c>
      <c r="K36" s="3">
        <f t="shared" si="5"/>
        <v>2.7787145333296839</v>
      </c>
      <c r="L36" s="4">
        <f t="shared" si="5"/>
        <v>3.7066117434809116</v>
      </c>
    </row>
    <row r="37" spans="3:12" ht="15" customHeight="1">
      <c r="C37" s="101">
        <v>27</v>
      </c>
      <c r="D37" s="102"/>
      <c r="E37" s="3">
        <f t="shared" si="5"/>
        <v>0.68368497913103199</v>
      </c>
      <c r="F37" s="3">
        <f t="shared" si="5"/>
        <v>0.85513723069428371</v>
      </c>
      <c r="G37" s="3">
        <f t="shared" si="5"/>
        <v>1.3137029128292739</v>
      </c>
      <c r="H37" s="3">
        <f t="shared" si="5"/>
        <v>1.7032884457221271</v>
      </c>
      <c r="I37" s="3">
        <f t="shared" si="5"/>
        <v>2.0518305164802859</v>
      </c>
      <c r="J37" s="3">
        <f t="shared" si="5"/>
        <v>2.4726599119560069</v>
      </c>
      <c r="K37" s="3">
        <f t="shared" si="5"/>
        <v>2.770682957122212</v>
      </c>
      <c r="L37" s="4">
        <f t="shared" si="5"/>
        <v>3.6895917134592362</v>
      </c>
    </row>
    <row r="38" spans="3:12" ht="15" customHeight="1">
      <c r="C38" s="101">
        <v>28</v>
      </c>
      <c r="D38" s="102"/>
      <c r="E38" s="3">
        <f t="shared" si="5"/>
        <v>0.68335284298850385</v>
      </c>
      <c r="F38" s="3">
        <f t="shared" si="5"/>
        <v>0.85464748558222203</v>
      </c>
      <c r="G38" s="3">
        <f t="shared" si="5"/>
        <v>1.3125267815926682</v>
      </c>
      <c r="H38" s="3">
        <f t="shared" si="5"/>
        <v>1.7011309342659326</v>
      </c>
      <c r="I38" s="3">
        <f t="shared" si="5"/>
        <v>2.0484071417952445</v>
      </c>
      <c r="J38" s="3">
        <f t="shared" si="5"/>
        <v>2.467140097967472</v>
      </c>
      <c r="K38" s="3">
        <f t="shared" si="5"/>
        <v>2.7632624554614447</v>
      </c>
      <c r="L38" s="4">
        <f t="shared" si="5"/>
        <v>3.6739064007012763</v>
      </c>
    </row>
    <row r="39" spans="3:12" ht="15" customHeight="1">
      <c r="C39" s="101">
        <v>29</v>
      </c>
      <c r="D39" s="102"/>
      <c r="E39" s="3">
        <f t="shared" si="5"/>
        <v>0.68304386082161361</v>
      </c>
      <c r="F39" s="3">
        <f t="shared" si="5"/>
        <v>0.85419198588185485</v>
      </c>
      <c r="G39" s="3">
        <f t="shared" si="5"/>
        <v>1.3114336473015527</v>
      </c>
      <c r="H39" s="3">
        <f t="shared" si="5"/>
        <v>1.6991270265334986</v>
      </c>
      <c r="I39" s="3">
        <f t="shared" si="5"/>
        <v>2.0452296421327048</v>
      </c>
      <c r="J39" s="3">
        <f t="shared" si="5"/>
        <v>2.4620213601504126</v>
      </c>
      <c r="K39" s="3">
        <f t="shared" si="5"/>
        <v>2.7563859036706049</v>
      </c>
      <c r="L39" s="4">
        <f t="shared" si="5"/>
        <v>3.659405019466333</v>
      </c>
    </row>
    <row r="40" spans="3:12" ht="15" customHeight="1">
      <c r="C40" s="101">
        <v>30</v>
      </c>
      <c r="D40" s="102"/>
      <c r="E40" s="3">
        <f t="shared" si="5"/>
        <v>0.68275569332128949</v>
      </c>
      <c r="F40" s="3">
        <f t="shared" si="5"/>
        <v>0.85376726147129767</v>
      </c>
      <c r="G40" s="3">
        <f t="shared" si="5"/>
        <v>1.3104150253913947</v>
      </c>
      <c r="H40" s="3">
        <f t="shared" si="5"/>
        <v>1.6972608865939587</v>
      </c>
      <c r="I40" s="3">
        <f t="shared" si="5"/>
        <v>2.0422724563012378</v>
      </c>
      <c r="J40" s="3">
        <f t="shared" si="5"/>
        <v>2.4572615424005915</v>
      </c>
      <c r="K40" s="3">
        <f t="shared" si="5"/>
        <v>2.7499956535672259</v>
      </c>
      <c r="L40" s="4">
        <f t="shared" si="5"/>
        <v>3.6459586350420214</v>
      </c>
    </row>
    <row r="41" spans="3:12" ht="15" customHeight="1">
      <c r="C41" s="101"/>
      <c r="D41" s="102"/>
      <c r="E41" s="5"/>
      <c r="F41" s="5"/>
      <c r="G41" s="5"/>
      <c r="H41" s="5"/>
      <c r="I41" s="5"/>
      <c r="J41" s="5"/>
      <c r="K41" s="5"/>
      <c r="L41" s="6"/>
    </row>
    <row r="42" spans="3:12" ht="15" customHeight="1">
      <c r="C42" s="101">
        <v>40</v>
      </c>
      <c r="D42" s="102"/>
      <c r="E42" s="3">
        <f t="shared" ref="E42:L45" si="6">ABS(_xlfn.T.INV(E$4,$C42))</f>
        <v>0.68067271716444966</v>
      </c>
      <c r="F42" s="3">
        <f t="shared" si="6"/>
        <v>0.85069979579045529</v>
      </c>
      <c r="G42" s="3">
        <f t="shared" si="6"/>
        <v>1.3030770526071962</v>
      </c>
      <c r="H42" s="3">
        <f t="shared" si="6"/>
        <v>1.6838510133356521</v>
      </c>
      <c r="I42" s="3">
        <f t="shared" si="6"/>
        <v>2.0210753903062737</v>
      </c>
      <c r="J42" s="3">
        <f t="shared" si="6"/>
        <v>2.4232567793348583</v>
      </c>
      <c r="K42" s="3">
        <f t="shared" si="6"/>
        <v>2.7044592674331631</v>
      </c>
      <c r="L42" s="4">
        <f t="shared" si="6"/>
        <v>3.5509657608633112</v>
      </c>
    </row>
    <row r="43" spans="3:12" ht="15" customHeight="1">
      <c r="C43" s="101">
        <v>60</v>
      </c>
      <c r="D43" s="102"/>
      <c r="E43" s="3">
        <f t="shared" si="6"/>
        <v>0.67860072064813881</v>
      </c>
      <c r="F43" s="3">
        <f t="shared" si="6"/>
        <v>0.847653006356612</v>
      </c>
      <c r="G43" s="3">
        <f t="shared" si="6"/>
        <v>1.2958210935157342</v>
      </c>
      <c r="H43" s="3">
        <f t="shared" si="6"/>
        <v>1.6706488649046354</v>
      </c>
      <c r="I43" s="3">
        <f t="shared" si="6"/>
        <v>2.0002978220142609</v>
      </c>
      <c r="J43" s="3">
        <f t="shared" si="6"/>
        <v>2.3901194726249129</v>
      </c>
      <c r="K43" s="3">
        <f t="shared" si="6"/>
        <v>2.6602830288550381</v>
      </c>
      <c r="L43" s="4">
        <f t="shared" si="6"/>
        <v>3.4602004691963555</v>
      </c>
    </row>
    <row r="44" spans="3:12" ht="15" customHeight="1">
      <c r="C44" s="101">
        <v>120</v>
      </c>
      <c r="D44" s="102"/>
      <c r="E44" s="3">
        <f t="shared" si="6"/>
        <v>0.67653972491251135</v>
      </c>
      <c r="F44" s="3">
        <f t="shared" si="6"/>
        <v>0.84462683774314173</v>
      </c>
      <c r="G44" s="3">
        <f t="shared" si="6"/>
        <v>1.2886462336563809</v>
      </c>
      <c r="H44" s="3">
        <f t="shared" si="6"/>
        <v>1.6576508993552355</v>
      </c>
      <c r="I44" s="3">
        <f t="shared" si="6"/>
        <v>1.9799304050824413</v>
      </c>
      <c r="J44" s="3">
        <f t="shared" si="6"/>
        <v>2.3578246126487556</v>
      </c>
      <c r="K44" s="3">
        <f t="shared" si="6"/>
        <v>2.617421145106865</v>
      </c>
      <c r="L44" s="4">
        <f t="shared" si="6"/>
        <v>3.3734537685625003</v>
      </c>
    </row>
    <row r="45" spans="3:12" ht="15" customHeight="1">
      <c r="C45" s="101">
        <v>200</v>
      </c>
      <c r="D45" s="102"/>
      <c r="E45" s="3">
        <f t="shared" si="6"/>
        <v>0.67571841140421607</v>
      </c>
      <c r="F45" s="3">
        <f t="shared" si="6"/>
        <v>0.84342213153543399</v>
      </c>
      <c r="G45" s="3">
        <f t="shared" si="6"/>
        <v>1.2857987939948081</v>
      </c>
      <c r="H45" s="3">
        <f t="shared" si="6"/>
        <v>1.6525081009108851</v>
      </c>
      <c r="I45" s="3">
        <f t="shared" si="6"/>
        <v>1.9718962236339095</v>
      </c>
      <c r="J45" s="3">
        <f t="shared" si="6"/>
        <v>2.3451370822594675</v>
      </c>
      <c r="K45" s="3">
        <f t="shared" si="6"/>
        <v>2.6006344361915565</v>
      </c>
      <c r="L45" s="4">
        <f t="shared" si="6"/>
        <v>3.3398354062756765</v>
      </c>
    </row>
    <row r="46" spans="3:12" ht="15" customHeight="1" thickBot="1">
      <c r="C46" s="103" t="s">
        <v>5</v>
      </c>
      <c r="D46" s="104"/>
      <c r="E46" s="8">
        <f t="shared" ref="E46:L46" si="7">ABS(_xlfn.T.INV(E$4,100000000))</f>
        <v>0.67448974926796168</v>
      </c>
      <c r="F46" s="8">
        <f t="shared" si="7"/>
        <v>0.84162123827657709</v>
      </c>
      <c r="G46" s="8">
        <f t="shared" si="7"/>
        <v>1.2815515651918774</v>
      </c>
      <c r="H46" s="8">
        <f t="shared" si="7"/>
        <v>1.6448536410111307</v>
      </c>
      <c r="I46" s="8">
        <f t="shared" si="7"/>
        <v>1.9599640064369337</v>
      </c>
      <c r="J46" s="8">
        <f t="shared" si="7"/>
        <v>2.3263479101647113</v>
      </c>
      <c r="K46" s="8">
        <f t="shared" si="7"/>
        <v>2.5758293526846576</v>
      </c>
      <c r="L46" s="9">
        <f t="shared" si="7"/>
        <v>3.2905268302985418</v>
      </c>
    </row>
    <row r="47" spans="3:12" ht="15" customHeight="1" thickTop="1"/>
  </sheetData>
  <mergeCells count="50">
    <mergeCell ref="C2:L2"/>
    <mergeCell ref="C6:D6"/>
    <mergeCell ref="C7:D7"/>
    <mergeCell ref="C8:D8"/>
    <mergeCell ref="I4:I5"/>
    <mergeCell ref="J4:J5"/>
    <mergeCell ref="K4:K5"/>
    <mergeCell ref="L4:L5"/>
    <mergeCell ref="H4:H5"/>
    <mergeCell ref="C17:D17"/>
    <mergeCell ref="C18:D18"/>
    <mergeCell ref="C19:D19"/>
    <mergeCell ref="C20:D20"/>
    <mergeCell ref="C9:D9"/>
    <mergeCell ref="C10:D10"/>
    <mergeCell ref="C11:D11"/>
    <mergeCell ref="C12:D12"/>
    <mergeCell ref="C13:D13"/>
    <mergeCell ref="C14:D14"/>
    <mergeCell ref="C39:D39"/>
    <mergeCell ref="C40:D40"/>
    <mergeCell ref="C41:D41"/>
    <mergeCell ref="C42:D42"/>
    <mergeCell ref="C33:D33"/>
    <mergeCell ref="C34:D34"/>
    <mergeCell ref="C35:D35"/>
    <mergeCell ref="C36:D36"/>
    <mergeCell ref="C37:D37"/>
    <mergeCell ref="C38:D38"/>
    <mergeCell ref="C27:D27"/>
    <mergeCell ref="C28:D28"/>
    <mergeCell ref="C29:D29"/>
    <mergeCell ref="C30:D30"/>
    <mergeCell ref="C31:D31"/>
    <mergeCell ref="C45:D45"/>
    <mergeCell ref="C46:D46"/>
    <mergeCell ref="E4:E5"/>
    <mergeCell ref="G4:G5"/>
    <mergeCell ref="F4:F5"/>
    <mergeCell ref="C43:D43"/>
    <mergeCell ref="C44:D44"/>
    <mergeCell ref="C32:D32"/>
    <mergeCell ref="C21:D21"/>
    <mergeCell ref="C22:D22"/>
    <mergeCell ref="C23:D23"/>
    <mergeCell ref="C24:D24"/>
    <mergeCell ref="C25:D25"/>
    <mergeCell ref="C26:D26"/>
    <mergeCell ref="C15:D15"/>
    <mergeCell ref="C16:D16"/>
  </mergeCells>
  <phoneticPr fontId="1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9A8C5F-1B9F-457C-9DBB-3B38F29A1977}">
  <dimension ref="C2:L47"/>
  <sheetViews>
    <sheetView showGridLines="0" zoomScale="70" zoomScaleNormal="70" workbookViewId="0"/>
  </sheetViews>
  <sheetFormatPr defaultRowHeight="15" customHeight="1"/>
  <cols>
    <col min="1" max="1" width="8.6640625" style="1"/>
    <col min="2" max="4" width="3.58203125" style="1" customWidth="1"/>
    <col min="5" max="12" width="8.6640625" style="1"/>
    <col min="13" max="13" width="3.58203125" style="1" customWidth="1"/>
    <col min="14" max="16384" width="8.6640625" style="1"/>
  </cols>
  <sheetData>
    <row r="2" spans="3:12" ht="15" customHeight="1">
      <c r="C2" s="100" t="s">
        <v>6</v>
      </c>
      <c r="D2" s="100"/>
      <c r="E2" s="100"/>
      <c r="F2" s="100"/>
      <c r="G2" s="100"/>
      <c r="H2" s="100"/>
      <c r="I2" s="100"/>
      <c r="J2" s="100"/>
      <c r="K2" s="100"/>
      <c r="L2" s="100"/>
    </row>
    <row r="3" spans="3:12" ht="15" customHeight="1" thickBot="1"/>
    <row r="4" spans="3:12" ht="15" customHeight="1" thickTop="1">
      <c r="C4" s="13"/>
      <c r="D4" s="14" t="s">
        <v>3</v>
      </c>
      <c r="E4" s="105">
        <v>0.995</v>
      </c>
      <c r="F4" s="105">
        <v>0.99</v>
      </c>
      <c r="G4" s="105">
        <v>0.97499999999999998</v>
      </c>
      <c r="H4" s="105">
        <v>0.95</v>
      </c>
      <c r="I4" s="105">
        <v>0.05</v>
      </c>
      <c r="J4" s="105">
        <v>2.5000000000000001E-2</v>
      </c>
      <c r="K4" s="105">
        <v>0.01</v>
      </c>
      <c r="L4" s="109">
        <v>5.0000000000000001E-3</v>
      </c>
    </row>
    <row r="5" spans="3:12" ht="15" customHeight="1">
      <c r="C5" s="15" t="s">
        <v>4</v>
      </c>
      <c r="D5" s="16"/>
      <c r="E5" s="106"/>
      <c r="F5" s="106"/>
      <c r="G5" s="106"/>
      <c r="H5" s="106"/>
      <c r="I5" s="106"/>
      <c r="J5" s="106"/>
      <c r="K5" s="106"/>
      <c r="L5" s="110"/>
    </row>
    <row r="6" spans="3:12" ht="15" customHeight="1">
      <c r="C6" s="101">
        <v>1</v>
      </c>
      <c r="D6" s="102"/>
      <c r="E6" s="3">
        <f>_xlfn.CHISQ.INV.RT(E$4,$C6)</f>
        <v>3.9270422220515978E-5</v>
      </c>
      <c r="F6" s="3">
        <f t="shared" ref="F6:L21" si="0">_xlfn.CHISQ.INV.RT(F$4,$C6)</f>
        <v>1.5708785790970227E-4</v>
      </c>
      <c r="G6" s="3">
        <f t="shared" si="0"/>
        <v>9.8206911717525812E-4</v>
      </c>
      <c r="H6" s="3">
        <f t="shared" si="0"/>
        <v>3.9321400000195293E-3</v>
      </c>
      <c r="I6" s="3">
        <f t="shared" si="0"/>
        <v>3.8414588206941236</v>
      </c>
      <c r="J6" s="3">
        <f t="shared" si="0"/>
        <v>5.0238861873148863</v>
      </c>
      <c r="K6" s="3">
        <f t="shared" si="0"/>
        <v>6.6348966010212118</v>
      </c>
      <c r="L6" s="17">
        <f t="shared" si="0"/>
        <v>7.8794385766224124</v>
      </c>
    </row>
    <row r="7" spans="3:12" ht="15" customHeight="1">
      <c r="C7" s="101">
        <v>2</v>
      </c>
      <c r="D7" s="102"/>
      <c r="E7" s="3">
        <f t="shared" ref="E7:E10" si="1">_xlfn.CHISQ.INV.RT(E$4,$C7)</f>
        <v>1.0025083647088573E-2</v>
      </c>
      <c r="F7" s="3">
        <f t="shared" si="0"/>
        <v>2.0100671707002901E-2</v>
      </c>
      <c r="G7" s="3">
        <f t="shared" si="0"/>
        <v>5.0635615968579795E-2</v>
      </c>
      <c r="H7" s="3">
        <f t="shared" si="0"/>
        <v>0.10258658877510116</v>
      </c>
      <c r="I7" s="3">
        <f t="shared" si="0"/>
        <v>5.9914645471079817</v>
      </c>
      <c r="J7" s="3">
        <f t="shared" si="0"/>
        <v>7.3777589082278725</v>
      </c>
      <c r="K7" s="3">
        <f t="shared" si="0"/>
        <v>9.2103403719761818</v>
      </c>
      <c r="L7" s="4">
        <f t="shared" si="0"/>
        <v>10.596634733096073</v>
      </c>
    </row>
    <row r="8" spans="3:12" ht="15" customHeight="1">
      <c r="C8" s="101">
        <v>3</v>
      </c>
      <c r="D8" s="102"/>
      <c r="E8" s="3">
        <f t="shared" si="1"/>
        <v>7.1721774586491635E-2</v>
      </c>
      <c r="F8" s="3">
        <f t="shared" si="0"/>
        <v>0.11483180189911682</v>
      </c>
      <c r="G8" s="3">
        <f t="shared" si="0"/>
        <v>0.2157952826238981</v>
      </c>
      <c r="H8" s="3">
        <f t="shared" si="0"/>
        <v>0.35184631774927172</v>
      </c>
      <c r="I8" s="3">
        <f t="shared" si="0"/>
        <v>7.8147279032511792</v>
      </c>
      <c r="J8" s="3">
        <f t="shared" si="0"/>
        <v>9.3484036044961485</v>
      </c>
      <c r="K8" s="3">
        <f t="shared" si="0"/>
        <v>11.344866730144371</v>
      </c>
      <c r="L8" s="4">
        <f t="shared" si="0"/>
        <v>12.838156466598651</v>
      </c>
    </row>
    <row r="9" spans="3:12" ht="15" customHeight="1">
      <c r="C9" s="101">
        <v>4</v>
      </c>
      <c r="D9" s="102"/>
      <c r="E9" s="3">
        <f t="shared" si="1"/>
        <v>0.20698909349618236</v>
      </c>
      <c r="F9" s="3">
        <f t="shared" si="0"/>
        <v>0.29710948050653158</v>
      </c>
      <c r="G9" s="3">
        <f t="shared" si="0"/>
        <v>0.4844185570879303</v>
      </c>
      <c r="H9" s="3">
        <f t="shared" si="0"/>
        <v>0.71072302139732446</v>
      </c>
      <c r="I9" s="3">
        <f t="shared" si="0"/>
        <v>9.4877290367811575</v>
      </c>
      <c r="J9" s="3">
        <f t="shared" si="0"/>
        <v>11.143286781877798</v>
      </c>
      <c r="K9" s="3">
        <f t="shared" si="0"/>
        <v>13.276704135987623</v>
      </c>
      <c r="L9" s="4">
        <f t="shared" si="0"/>
        <v>14.860259000560244</v>
      </c>
    </row>
    <row r="10" spans="3:12" ht="15" customHeight="1">
      <c r="C10" s="101">
        <v>5</v>
      </c>
      <c r="D10" s="102"/>
      <c r="E10" s="3">
        <f t="shared" si="1"/>
        <v>0.41174190383249976</v>
      </c>
      <c r="F10" s="3">
        <f t="shared" si="0"/>
        <v>0.55429807672827713</v>
      </c>
      <c r="G10" s="3">
        <f t="shared" si="0"/>
        <v>0.83121161348666384</v>
      </c>
      <c r="H10" s="3">
        <f t="shared" si="0"/>
        <v>1.1454762260617699</v>
      </c>
      <c r="I10" s="3">
        <f t="shared" si="0"/>
        <v>11.070497693516353</v>
      </c>
      <c r="J10" s="3">
        <f t="shared" si="0"/>
        <v>12.832501994030029</v>
      </c>
      <c r="K10" s="3">
        <f t="shared" si="0"/>
        <v>15.086272469388991</v>
      </c>
      <c r="L10" s="4">
        <f t="shared" si="0"/>
        <v>16.749602343639044</v>
      </c>
    </row>
    <row r="11" spans="3:12" ht="15" customHeight="1">
      <c r="C11" s="101"/>
      <c r="D11" s="102"/>
      <c r="E11" s="5"/>
      <c r="F11" s="5"/>
      <c r="G11" s="5"/>
      <c r="H11" s="5"/>
      <c r="I11" s="5"/>
      <c r="J11" s="5"/>
      <c r="K11" s="5"/>
      <c r="L11" s="6"/>
    </row>
    <row r="12" spans="3:12" ht="15" customHeight="1">
      <c r="C12" s="101">
        <v>6</v>
      </c>
      <c r="D12" s="102"/>
      <c r="E12" s="3">
        <f>_xlfn.CHISQ.INV.RT(E$4,$C12)</f>
        <v>0.67572677745546794</v>
      </c>
      <c r="F12" s="3">
        <f t="shared" si="0"/>
        <v>0.87209033015658521</v>
      </c>
      <c r="G12" s="3">
        <f t="shared" si="0"/>
        <v>1.2373442457912045</v>
      </c>
      <c r="H12" s="3">
        <f t="shared" si="0"/>
        <v>1.6353828943279067</v>
      </c>
      <c r="I12" s="3">
        <f t="shared" si="0"/>
        <v>12.591587243743978</v>
      </c>
      <c r="J12" s="3">
        <f t="shared" si="0"/>
        <v>14.449375335447922</v>
      </c>
      <c r="K12" s="3">
        <f t="shared" si="0"/>
        <v>16.811893829770931</v>
      </c>
      <c r="L12" s="4">
        <f t="shared" si="0"/>
        <v>18.547584178511091</v>
      </c>
    </row>
    <row r="13" spans="3:12" ht="15" customHeight="1">
      <c r="C13" s="101">
        <v>7</v>
      </c>
      <c r="D13" s="102"/>
      <c r="E13" s="3">
        <f t="shared" ref="E13:E16" si="2">_xlfn.CHISQ.INV.RT(E$4,$C13)</f>
        <v>0.98925568313295031</v>
      </c>
      <c r="F13" s="3">
        <f t="shared" si="0"/>
        <v>1.2390423055679303</v>
      </c>
      <c r="G13" s="3">
        <f t="shared" si="0"/>
        <v>1.6898691806773543</v>
      </c>
      <c r="H13" s="3">
        <f t="shared" si="0"/>
        <v>2.167349909298057</v>
      </c>
      <c r="I13" s="3">
        <f t="shared" si="0"/>
        <v>14.067140449340167</v>
      </c>
      <c r="J13" s="3">
        <f t="shared" si="0"/>
        <v>16.012764274629326</v>
      </c>
      <c r="K13" s="3">
        <f t="shared" si="0"/>
        <v>18.475306906582361</v>
      </c>
      <c r="L13" s="4">
        <f t="shared" si="0"/>
        <v>20.277739874962624</v>
      </c>
    </row>
    <row r="14" spans="3:12" ht="15" customHeight="1">
      <c r="C14" s="101">
        <v>8</v>
      </c>
      <c r="D14" s="102"/>
      <c r="E14" s="3">
        <f t="shared" si="2"/>
        <v>1.3444130870148152</v>
      </c>
      <c r="F14" s="3">
        <f t="shared" si="0"/>
        <v>1.6464973726907688</v>
      </c>
      <c r="G14" s="3">
        <f t="shared" si="0"/>
        <v>2.1797307472526506</v>
      </c>
      <c r="H14" s="3">
        <f t="shared" si="0"/>
        <v>2.7326367934996632</v>
      </c>
      <c r="I14" s="3">
        <f t="shared" si="0"/>
        <v>15.507313055865453</v>
      </c>
      <c r="J14" s="3">
        <f t="shared" si="0"/>
        <v>17.53454613948465</v>
      </c>
      <c r="K14" s="3">
        <f t="shared" si="0"/>
        <v>20.090235029663233</v>
      </c>
      <c r="L14" s="4">
        <f t="shared" si="0"/>
        <v>21.95495499065953</v>
      </c>
    </row>
    <row r="15" spans="3:12" ht="15" customHeight="1">
      <c r="C15" s="101">
        <v>9</v>
      </c>
      <c r="D15" s="102"/>
      <c r="E15" s="3">
        <f t="shared" si="2"/>
        <v>1.7349329049966573</v>
      </c>
      <c r="F15" s="3">
        <f t="shared" si="0"/>
        <v>2.0879007358707233</v>
      </c>
      <c r="G15" s="3">
        <f t="shared" si="0"/>
        <v>2.7003894999803584</v>
      </c>
      <c r="H15" s="3">
        <f t="shared" si="0"/>
        <v>3.3251128430668162</v>
      </c>
      <c r="I15" s="3">
        <f t="shared" si="0"/>
        <v>16.918977604620451</v>
      </c>
      <c r="J15" s="3">
        <f t="shared" si="0"/>
        <v>19.022767798641635</v>
      </c>
      <c r="K15" s="3">
        <f t="shared" si="0"/>
        <v>21.665994333461931</v>
      </c>
      <c r="L15" s="4">
        <f t="shared" si="0"/>
        <v>23.589350781257387</v>
      </c>
    </row>
    <row r="16" spans="3:12" ht="15" customHeight="1">
      <c r="C16" s="101">
        <v>10</v>
      </c>
      <c r="D16" s="102"/>
      <c r="E16" s="3">
        <f t="shared" si="2"/>
        <v>2.1558564813046455</v>
      </c>
      <c r="F16" s="3">
        <f t="shared" si="0"/>
        <v>2.5582121601872081</v>
      </c>
      <c r="G16" s="3">
        <f t="shared" si="0"/>
        <v>3.2469727802368396</v>
      </c>
      <c r="H16" s="3">
        <f t="shared" si="0"/>
        <v>3.9402991361190622</v>
      </c>
      <c r="I16" s="3">
        <f t="shared" si="0"/>
        <v>18.307038053275146</v>
      </c>
      <c r="J16" s="3">
        <f t="shared" si="0"/>
        <v>20.483177350807395</v>
      </c>
      <c r="K16" s="3">
        <f t="shared" si="0"/>
        <v>23.209251158954359</v>
      </c>
      <c r="L16" s="4">
        <f t="shared" si="0"/>
        <v>25.188179571971173</v>
      </c>
    </row>
    <row r="17" spans="3:12" ht="15" customHeight="1">
      <c r="C17" s="101"/>
      <c r="D17" s="102"/>
      <c r="E17" s="5"/>
      <c r="F17" s="5"/>
      <c r="G17" s="5"/>
      <c r="H17" s="5"/>
      <c r="I17" s="5"/>
      <c r="J17" s="5"/>
      <c r="K17" s="5"/>
      <c r="L17" s="6"/>
    </row>
    <row r="18" spans="3:12" ht="15" customHeight="1">
      <c r="C18" s="101">
        <v>11</v>
      </c>
      <c r="D18" s="102"/>
      <c r="E18" s="3">
        <f>_xlfn.CHISQ.INV.RT(E$4,$C18)</f>
        <v>2.6032218905151172</v>
      </c>
      <c r="F18" s="3">
        <f t="shared" si="0"/>
        <v>3.0534841066406813</v>
      </c>
      <c r="G18" s="3">
        <f t="shared" si="0"/>
        <v>3.8157482522361006</v>
      </c>
      <c r="H18" s="3">
        <f t="shared" si="0"/>
        <v>4.5748130793222259</v>
      </c>
      <c r="I18" s="3">
        <f t="shared" si="0"/>
        <v>19.675137572682498</v>
      </c>
      <c r="J18" s="3">
        <f t="shared" si="0"/>
        <v>21.920049261021205</v>
      </c>
      <c r="K18" s="3">
        <f t="shared" si="0"/>
        <v>24.724970311318284</v>
      </c>
      <c r="L18" s="4">
        <f t="shared" si="0"/>
        <v>26.756848916469632</v>
      </c>
    </row>
    <row r="19" spans="3:12" ht="15" customHeight="1">
      <c r="C19" s="101">
        <v>12</v>
      </c>
      <c r="D19" s="102"/>
      <c r="E19" s="3">
        <f t="shared" ref="E19:L22" si="3">_xlfn.CHISQ.INV.RT(E$4,$C19)</f>
        <v>3.0738236380893325</v>
      </c>
      <c r="F19" s="3">
        <f t="shared" si="0"/>
        <v>3.5705689706043899</v>
      </c>
      <c r="G19" s="3">
        <f t="shared" si="0"/>
        <v>4.4037885069817033</v>
      </c>
      <c r="H19" s="3">
        <f t="shared" si="0"/>
        <v>5.2260294883926397</v>
      </c>
      <c r="I19" s="3">
        <f t="shared" si="0"/>
        <v>21.026069817483066</v>
      </c>
      <c r="J19" s="3">
        <f t="shared" si="0"/>
        <v>23.336664158645338</v>
      </c>
      <c r="K19" s="3">
        <f t="shared" si="0"/>
        <v>26.216967305535849</v>
      </c>
      <c r="L19" s="4">
        <f t="shared" si="0"/>
        <v>28.299518822046032</v>
      </c>
    </row>
    <row r="20" spans="3:12" ht="15" customHeight="1">
      <c r="C20" s="101">
        <v>13</v>
      </c>
      <c r="D20" s="102"/>
      <c r="E20" s="3">
        <f t="shared" si="3"/>
        <v>3.5650345797295349</v>
      </c>
      <c r="F20" s="3">
        <f t="shared" si="0"/>
        <v>4.1069154715044069</v>
      </c>
      <c r="G20" s="3">
        <f t="shared" si="0"/>
        <v>5.0087505118103319</v>
      </c>
      <c r="H20" s="3">
        <f t="shared" si="0"/>
        <v>5.8918643377098476</v>
      </c>
      <c r="I20" s="3">
        <f t="shared" si="0"/>
        <v>22.362032494826938</v>
      </c>
      <c r="J20" s="3">
        <f t="shared" si="0"/>
        <v>24.73560488493154</v>
      </c>
      <c r="K20" s="3">
        <f t="shared" si="0"/>
        <v>27.688249610457049</v>
      </c>
      <c r="L20" s="4">
        <f t="shared" si="0"/>
        <v>29.819471223653217</v>
      </c>
    </row>
    <row r="21" spans="3:12" ht="15" customHeight="1">
      <c r="C21" s="101">
        <v>14</v>
      </c>
      <c r="D21" s="102"/>
      <c r="E21" s="3">
        <f t="shared" si="3"/>
        <v>4.0746749573993482</v>
      </c>
      <c r="F21" s="3">
        <f t="shared" si="0"/>
        <v>4.6604250626577679</v>
      </c>
      <c r="G21" s="3">
        <f t="shared" si="0"/>
        <v>5.6287261030397318</v>
      </c>
      <c r="H21" s="3">
        <f t="shared" si="0"/>
        <v>6.5706313837893431</v>
      </c>
      <c r="I21" s="3">
        <f t="shared" si="0"/>
        <v>23.68479130484058</v>
      </c>
      <c r="J21" s="3">
        <f t="shared" si="0"/>
        <v>26.118948045037371</v>
      </c>
      <c r="K21" s="3">
        <f t="shared" si="0"/>
        <v>29.141237740672796</v>
      </c>
      <c r="L21" s="4">
        <f t="shared" si="0"/>
        <v>31.31934962259529</v>
      </c>
    </row>
    <row r="22" spans="3:12" ht="15" customHeight="1">
      <c r="C22" s="101">
        <v>15</v>
      </c>
      <c r="D22" s="102"/>
      <c r="E22" s="3">
        <f t="shared" si="3"/>
        <v>4.600915571727338</v>
      </c>
      <c r="F22" s="3">
        <f t="shared" si="3"/>
        <v>5.2293488840989664</v>
      </c>
      <c r="G22" s="3">
        <f t="shared" si="3"/>
        <v>6.26213779504325</v>
      </c>
      <c r="H22" s="3">
        <f t="shared" si="3"/>
        <v>7.2609439276700334</v>
      </c>
      <c r="I22" s="3">
        <f t="shared" si="3"/>
        <v>24.99579013972863</v>
      </c>
      <c r="J22" s="3">
        <f t="shared" si="3"/>
        <v>27.488392863442982</v>
      </c>
      <c r="K22" s="3">
        <f t="shared" si="3"/>
        <v>30.577914166892494</v>
      </c>
      <c r="L22" s="4">
        <f t="shared" si="3"/>
        <v>32.80132064579184</v>
      </c>
    </row>
    <row r="23" spans="3:12" ht="15" customHeight="1">
      <c r="C23" s="101"/>
      <c r="D23" s="102"/>
      <c r="E23" s="5"/>
      <c r="F23" s="5"/>
      <c r="G23" s="5"/>
      <c r="H23" s="5"/>
      <c r="I23" s="5"/>
      <c r="J23" s="5"/>
      <c r="K23" s="5"/>
      <c r="L23" s="6"/>
    </row>
    <row r="24" spans="3:12" ht="15" customHeight="1">
      <c r="C24" s="101">
        <v>16</v>
      </c>
      <c r="D24" s="102"/>
      <c r="E24" s="3">
        <f>_xlfn.CHISQ.INV.RT(E$4,$C24)</f>
        <v>5.1422054430436823</v>
      </c>
      <c r="F24" s="3">
        <f t="shared" ref="F24:L28" si="4">_xlfn.CHISQ.INV.RT(F$4,$C24)</f>
        <v>5.8122124701349733</v>
      </c>
      <c r="G24" s="3">
        <f t="shared" si="4"/>
        <v>6.9076643534970019</v>
      </c>
      <c r="H24" s="3">
        <f t="shared" si="4"/>
        <v>7.9616455723785533</v>
      </c>
      <c r="I24" s="3">
        <f t="shared" si="4"/>
        <v>26.296227604864239</v>
      </c>
      <c r="J24" s="3">
        <f t="shared" si="4"/>
        <v>28.84535072340476</v>
      </c>
      <c r="K24" s="3">
        <f t="shared" si="4"/>
        <v>31.999926908815183</v>
      </c>
      <c r="L24" s="4">
        <f t="shared" si="4"/>
        <v>34.267186537826703</v>
      </c>
    </row>
    <row r="25" spans="3:12" ht="15" customHeight="1">
      <c r="C25" s="101">
        <v>17</v>
      </c>
      <c r="D25" s="102"/>
      <c r="E25" s="3">
        <f t="shared" ref="E25:E28" si="5">_xlfn.CHISQ.INV.RT(E$4,$C25)</f>
        <v>5.6972171014978219</v>
      </c>
      <c r="F25" s="3">
        <f t="shared" si="4"/>
        <v>6.4077597777389341</v>
      </c>
      <c r="G25" s="3">
        <f t="shared" si="4"/>
        <v>7.5641864495775692</v>
      </c>
      <c r="H25" s="3">
        <f t="shared" si="4"/>
        <v>8.671760204670079</v>
      </c>
      <c r="I25" s="3">
        <f t="shared" si="4"/>
        <v>27.587111638275324</v>
      </c>
      <c r="J25" s="3">
        <f t="shared" si="4"/>
        <v>30.191009121639812</v>
      </c>
      <c r="K25" s="3">
        <f t="shared" si="4"/>
        <v>33.408663605004612</v>
      </c>
      <c r="L25" s="4">
        <f t="shared" si="4"/>
        <v>35.7184656590046</v>
      </c>
    </row>
    <row r="26" spans="3:12" ht="15" customHeight="1">
      <c r="C26" s="101">
        <v>18</v>
      </c>
      <c r="D26" s="102"/>
      <c r="E26" s="3">
        <f t="shared" si="5"/>
        <v>6.2648046845064762</v>
      </c>
      <c r="F26" s="3">
        <f t="shared" si="4"/>
        <v>7.0149109011725761</v>
      </c>
      <c r="G26" s="3">
        <f t="shared" si="4"/>
        <v>8.2307461947566694</v>
      </c>
      <c r="H26" s="3">
        <f t="shared" si="4"/>
        <v>9.3904550806889837</v>
      </c>
      <c r="I26" s="3">
        <f t="shared" si="4"/>
        <v>28.869299430392633</v>
      </c>
      <c r="J26" s="3">
        <f t="shared" si="4"/>
        <v>31.52637844038663</v>
      </c>
      <c r="K26" s="3">
        <f t="shared" si="4"/>
        <v>34.805305734705072</v>
      </c>
      <c r="L26" s="4">
        <f t="shared" si="4"/>
        <v>37.156451456606746</v>
      </c>
    </row>
    <row r="27" spans="3:12" ht="15" customHeight="1">
      <c r="C27" s="101">
        <v>19</v>
      </c>
      <c r="D27" s="102"/>
      <c r="E27" s="3">
        <f t="shared" si="5"/>
        <v>6.8439714454829561</v>
      </c>
      <c r="F27" s="3">
        <f t="shared" si="4"/>
        <v>7.6327296475714759</v>
      </c>
      <c r="G27" s="3">
        <f t="shared" si="4"/>
        <v>8.9065164819879747</v>
      </c>
      <c r="H27" s="3">
        <f t="shared" si="4"/>
        <v>10.117013063859044</v>
      </c>
      <c r="I27" s="3">
        <f t="shared" si="4"/>
        <v>30.143527205646155</v>
      </c>
      <c r="J27" s="3">
        <f t="shared" si="4"/>
        <v>32.852326861729708</v>
      </c>
      <c r="K27" s="3">
        <f t="shared" si="4"/>
        <v>36.190869129270048</v>
      </c>
      <c r="L27" s="4">
        <f t="shared" si="4"/>
        <v>38.58225655493424</v>
      </c>
    </row>
    <row r="28" spans="3:12" ht="15" customHeight="1">
      <c r="C28" s="101">
        <v>20</v>
      </c>
      <c r="D28" s="102"/>
      <c r="E28" s="3">
        <f t="shared" si="5"/>
        <v>7.4338442629342358</v>
      </c>
      <c r="F28" s="3">
        <f t="shared" si="4"/>
        <v>8.2603983325464014</v>
      </c>
      <c r="G28" s="3">
        <f t="shared" si="4"/>
        <v>9.5907773922648669</v>
      </c>
      <c r="H28" s="3">
        <f t="shared" si="4"/>
        <v>10.850811394182585</v>
      </c>
      <c r="I28" s="3">
        <f t="shared" si="4"/>
        <v>31.410432844230925</v>
      </c>
      <c r="J28" s="3">
        <f t="shared" si="4"/>
        <v>34.169606902838339</v>
      </c>
      <c r="K28" s="3">
        <f t="shared" si="4"/>
        <v>37.566234786625053</v>
      </c>
      <c r="L28" s="4">
        <f t="shared" si="4"/>
        <v>39.996846312938644</v>
      </c>
    </row>
    <row r="29" spans="3:12" ht="15" customHeight="1">
      <c r="C29" s="101"/>
      <c r="D29" s="102"/>
      <c r="E29" s="5"/>
      <c r="F29" s="5"/>
      <c r="G29" s="5"/>
      <c r="H29" s="5"/>
      <c r="I29" s="5"/>
      <c r="J29" s="5"/>
      <c r="K29" s="5"/>
      <c r="L29" s="6"/>
    </row>
    <row r="30" spans="3:12" ht="15" customHeight="1">
      <c r="C30" s="101">
        <v>21</v>
      </c>
      <c r="D30" s="102"/>
      <c r="E30" s="3">
        <f>_xlfn.CHISQ.INV.RT(E$4,$C30)</f>
        <v>8.033653420232735</v>
      </c>
      <c r="F30" s="3">
        <f t="shared" ref="F30:L34" si="6">_xlfn.CHISQ.INV.RT(F$4,$C30)</f>
        <v>8.89719794207722</v>
      </c>
      <c r="G30" s="3">
        <f t="shared" si="6"/>
        <v>10.282897782522859</v>
      </c>
      <c r="H30" s="3">
        <f t="shared" si="6"/>
        <v>11.591305208820739</v>
      </c>
      <c r="I30" s="3">
        <f t="shared" si="6"/>
        <v>32.670573340917308</v>
      </c>
      <c r="J30" s="3">
        <f t="shared" si="6"/>
        <v>35.478875905727257</v>
      </c>
      <c r="K30" s="3">
        <f t="shared" si="6"/>
        <v>38.932172683516065</v>
      </c>
      <c r="L30" s="4">
        <f t="shared" si="6"/>
        <v>41.401064771417609</v>
      </c>
    </row>
    <row r="31" spans="3:12" ht="15" customHeight="1">
      <c r="C31" s="101">
        <v>22</v>
      </c>
      <c r="D31" s="102"/>
      <c r="E31" s="3">
        <f t="shared" ref="E31:E34" si="7">_xlfn.CHISQ.INV.RT(E$4,$C31)</f>
        <v>8.6427164006664015</v>
      </c>
      <c r="F31" s="3">
        <f t="shared" si="6"/>
        <v>9.5424923387850811</v>
      </c>
      <c r="G31" s="3">
        <f t="shared" si="6"/>
        <v>10.982320734473676</v>
      </c>
      <c r="H31" s="3">
        <f t="shared" si="6"/>
        <v>12.338014578790647</v>
      </c>
      <c r="I31" s="3">
        <f t="shared" si="6"/>
        <v>33.9244384714438</v>
      </c>
      <c r="J31" s="3">
        <f t="shared" si="6"/>
        <v>36.780712084035557</v>
      </c>
      <c r="K31" s="3">
        <f t="shared" si="6"/>
        <v>40.289360437593864</v>
      </c>
      <c r="L31" s="4">
        <f t="shared" si="6"/>
        <v>42.795654999308539</v>
      </c>
    </row>
    <row r="32" spans="3:12" ht="15" customHeight="1">
      <c r="C32" s="101">
        <v>23</v>
      </c>
      <c r="D32" s="102"/>
      <c r="E32" s="3">
        <f t="shared" si="7"/>
        <v>9.2604247758087546</v>
      </c>
      <c r="F32" s="3">
        <f t="shared" si="6"/>
        <v>10.195715555745821</v>
      </c>
      <c r="G32" s="3">
        <f t="shared" si="6"/>
        <v>11.688551922452435</v>
      </c>
      <c r="H32" s="3">
        <f t="shared" si="6"/>
        <v>13.090514188172801</v>
      </c>
      <c r="I32" s="3">
        <f t="shared" si="6"/>
        <v>35.172461626908053</v>
      </c>
      <c r="J32" s="3">
        <f t="shared" si="6"/>
        <v>38.075627250355801</v>
      </c>
      <c r="K32" s="3">
        <f t="shared" si="6"/>
        <v>41.638398118858476</v>
      </c>
      <c r="L32" s="4">
        <f t="shared" si="6"/>
        <v>44.181275249971101</v>
      </c>
    </row>
    <row r="33" spans="3:12" ht="15" customHeight="1">
      <c r="C33" s="101">
        <v>24</v>
      </c>
      <c r="D33" s="102"/>
      <c r="E33" s="3">
        <f t="shared" si="7"/>
        <v>9.8862335022414651</v>
      </c>
      <c r="F33" s="3">
        <f t="shared" si="6"/>
        <v>10.856361475532282</v>
      </c>
      <c r="G33" s="3">
        <f t="shared" si="6"/>
        <v>12.401150217444435</v>
      </c>
      <c r="H33" s="3">
        <f t="shared" si="6"/>
        <v>13.848425027170213</v>
      </c>
      <c r="I33" s="3">
        <f t="shared" si="6"/>
        <v>36.415028501807313</v>
      </c>
      <c r="J33" s="3">
        <f t="shared" si="6"/>
        <v>39.364077026603915</v>
      </c>
      <c r="K33" s="3">
        <f t="shared" si="6"/>
        <v>42.979820139351638</v>
      </c>
      <c r="L33" s="4">
        <f t="shared" si="6"/>
        <v>45.558511936530586</v>
      </c>
    </row>
    <row r="34" spans="3:12" ht="15" customHeight="1">
      <c r="C34" s="101">
        <v>25</v>
      </c>
      <c r="D34" s="102"/>
      <c r="E34" s="3">
        <f t="shared" si="7"/>
        <v>10.519652112024698</v>
      </c>
      <c r="F34" s="3">
        <f t="shared" si="6"/>
        <v>11.52397537224933</v>
      </c>
      <c r="G34" s="3">
        <f t="shared" si="6"/>
        <v>13.119720024937791</v>
      </c>
      <c r="H34" s="3">
        <f t="shared" si="6"/>
        <v>14.611407639483309</v>
      </c>
      <c r="I34" s="3">
        <f t="shared" si="6"/>
        <v>37.65248413348278</v>
      </c>
      <c r="J34" s="3">
        <f t="shared" si="6"/>
        <v>40.646469120275199</v>
      </c>
      <c r="K34" s="3">
        <f t="shared" si="6"/>
        <v>44.314104896219156</v>
      </c>
      <c r="L34" s="4">
        <f t="shared" si="6"/>
        <v>46.92789016008075</v>
      </c>
    </row>
    <row r="35" spans="3:12" ht="15" customHeight="1">
      <c r="C35" s="101"/>
      <c r="D35" s="102"/>
      <c r="E35" s="5"/>
      <c r="F35" s="5"/>
      <c r="G35" s="5"/>
      <c r="H35" s="5"/>
      <c r="I35" s="5"/>
      <c r="J35" s="5"/>
      <c r="K35" s="5"/>
      <c r="L35" s="6"/>
    </row>
    <row r="36" spans="3:12" ht="15" customHeight="1">
      <c r="C36" s="101">
        <v>26</v>
      </c>
      <c r="D36" s="102"/>
      <c r="E36" s="3">
        <f>_xlfn.CHISQ.INV.RT(E$4,$C36)</f>
        <v>11.160237406164143</v>
      </c>
      <c r="F36" s="3">
        <f t="shared" ref="F36:L40" si="8">_xlfn.CHISQ.INV.RT(F$4,$C36)</f>
        <v>12.198146923505595</v>
      </c>
      <c r="G36" s="3">
        <f t="shared" si="8"/>
        <v>13.843904982007606</v>
      </c>
      <c r="H36" s="3">
        <f t="shared" si="8"/>
        <v>15.379156583261738</v>
      </c>
      <c r="I36" s="3">
        <f t="shared" si="8"/>
        <v>38.885138659830041</v>
      </c>
      <c r="J36" s="3">
        <f t="shared" si="8"/>
        <v>41.923170096353914</v>
      </c>
      <c r="K36" s="3">
        <f t="shared" si="8"/>
        <v>45.641682666283153</v>
      </c>
      <c r="L36" s="4">
        <f t="shared" si="8"/>
        <v>48.289882332456834</v>
      </c>
    </row>
    <row r="37" spans="3:12" ht="15" customHeight="1">
      <c r="C37" s="101">
        <v>27</v>
      </c>
      <c r="D37" s="102"/>
      <c r="E37" s="3">
        <f t="shared" ref="E37:E40" si="9">_xlfn.CHISQ.INV.RT(E$4,$C37)</f>
        <v>11.807587351366138</v>
      </c>
      <c r="F37" s="3">
        <f t="shared" si="8"/>
        <v>12.878504393144546</v>
      </c>
      <c r="G37" s="3">
        <f t="shared" si="8"/>
        <v>14.573382730821709</v>
      </c>
      <c r="H37" s="3">
        <f t="shared" si="8"/>
        <v>16.151395849664109</v>
      </c>
      <c r="I37" s="3">
        <f t="shared" si="8"/>
        <v>40.113272069413625</v>
      </c>
      <c r="J37" s="3">
        <f t="shared" si="8"/>
        <v>43.194510966156031</v>
      </c>
      <c r="K37" s="3">
        <f t="shared" si="8"/>
        <v>46.962942124751443</v>
      </c>
      <c r="L37" s="4">
        <f t="shared" si="8"/>
        <v>49.644915298994228</v>
      </c>
    </row>
    <row r="38" spans="3:12" ht="15" customHeight="1">
      <c r="C38" s="101">
        <v>28</v>
      </c>
      <c r="D38" s="102"/>
      <c r="E38" s="3">
        <f t="shared" si="9"/>
        <v>12.46133594800256</v>
      </c>
      <c r="F38" s="3">
        <f t="shared" si="8"/>
        <v>13.564709754618823</v>
      </c>
      <c r="G38" s="3">
        <f t="shared" si="8"/>
        <v>15.307860552601202</v>
      </c>
      <c r="H38" s="3">
        <f t="shared" si="8"/>
        <v>16.927875044422496</v>
      </c>
      <c r="I38" s="3">
        <f t="shared" si="8"/>
        <v>41.337138151427396</v>
      </c>
      <c r="J38" s="3">
        <f t="shared" si="8"/>
        <v>44.460791836317753</v>
      </c>
      <c r="K38" s="3">
        <f t="shared" si="8"/>
        <v>48.27823577031549</v>
      </c>
      <c r="L38" s="4">
        <f t="shared" si="8"/>
        <v>50.993376268499453</v>
      </c>
    </row>
    <row r="39" spans="3:12" ht="15" customHeight="1">
      <c r="C39" s="101">
        <v>29</v>
      </c>
      <c r="D39" s="102"/>
      <c r="E39" s="3">
        <f t="shared" si="9"/>
        <v>13.121148887960382</v>
      </c>
      <c r="F39" s="3">
        <f t="shared" si="8"/>
        <v>14.256454576274677</v>
      </c>
      <c r="G39" s="3">
        <f t="shared" si="8"/>
        <v>16.047071695364892</v>
      </c>
      <c r="H39" s="3">
        <f t="shared" si="8"/>
        <v>17.708366182824584</v>
      </c>
      <c r="I39" s="3">
        <f t="shared" si="8"/>
        <v>42.556967804292682</v>
      </c>
      <c r="J39" s="3">
        <f t="shared" si="8"/>
        <v>45.722285804174533</v>
      </c>
      <c r="K39" s="3">
        <f t="shared" si="8"/>
        <v>49.587884472898835</v>
      </c>
      <c r="L39" s="4">
        <f t="shared" si="8"/>
        <v>52.335617785933614</v>
      </c>
    </row>
    <row r="40" spans="3:12" ht="15" customHeight="1">
      <c r="C40" s="101">
        <v>30</v>
      </c>
      <c r="D40" s="102"/>
      <c r="E40" s="3">
        <f t="shared" si="9"/>
        <v>13.786719859502711</v>
      </c>
      <c r="F40" s="3">
        <f t="shared" si="8"/>
        <v>14.953456528455439</v>
      </c>
      <c r="G40" s="3">
        <f t="shared" si="8"/>
        <v>16.790772265566623</v>
      </c>
      <c r="H40" s="3">
        <f t="shared" si="8"/>
        <v>18.492660981953474</v>
      </c>
      <c r="I40" s="3">
        <f t="shared" si="8"/>
        <v>43.772971825742189</v>
      </c>
      <c r="J40" s="3">
        <f t="shared" si="8"/>
        <v>46.979242243671159</v>
      </c>
      <c r="K40" s="3">
        <f t="shared" si="8"/>
        <v>50.892181311517092</v>
      </c>
      <c r="L40" s="4">
        <f t="shared" si="8"/>
        <v>53.671961930240592</v>
      </c>
    </row>
    <row r="41" spans="3:12" ht="15" customHeight="1">
      <c r="C41" s="101"/>
      <c r="D41" s="102"/>
      <c r="E41" s="5"/>
      <c r="F41" s="5"/>
      <c r="G41" s="5"/>
      <c r="H41" s="5"/>
      <c r="I41" s="5"/>
      <c r="J41" s="5"/>
      <c r="K41" s="5"/>
      <c r="L41" s="6"/>
    </row>
    <row r="42" spans="3:12" ht="15" customHeight="1">
      <c r="C42" s="101">
        <v>40</v>
      </c>
      <c r="D42" s="102"/>
      <c r="E42" s="3">
        <f>_xlfn.CHISQ.INV.RT(E$4,$C42)</f>
        <v>20.706535316970083</v>
      </c>
      <c r="F42" s="3">
        <f t="shared" ref="F42:L46" si="10">_xlfn.CHISQ.INV.RT(F$4,$C42)</f>
        <v>22.164261252975162</v>
      </c>
      <c r="G42" s="3">
        <f t="shared" si="10"/>
        <v>24.433039170807891</v>
      </c>
      <c r="H42" s="3">
        <f t="shared" si="10"/>
        <v>26.509303196693111</v>
      </c>
      <c r="I42" s="3">
        <f t="shared" si="10"/>
        <v>55.75847927888703</v>
      </c>
      <c r="J42" s="3">
        <f t="shared" si="10"/>
        <v>59.341707143171199</v>
      </c>
      <c r="K42" s="3">
        <f t="shared" si="10"/>
        <v>63.690739751564458</v>
      </c>
      <c r="L42" s="4">
        <f t="shared" si="10"/>
        <v>66.765961832803924</v>
      </c>
    </row>
    <row r="43" spans="3:12" ht="15" customHeight="1">
      <c r="C43" s="101">
        <v>60</v>
      </c>
      <c r="D43" s="102"/>
      <c r="E43" s="3">
        <f t="shared" ref="E43:E46" si="11">_xlfn.CHISQ.INV.RT(E$4,$C43)</f>
        <v>35.534491078738533</v>
      </c>
      <c r="F43" s="3">
        <f t="shared" si="10"/>
        <v>37.484851529803777</v>
      </c>
      <c r="G43" s="3">
        <f t="shared" si="10"/>
        <v>40.481748042841836</v>
      </c>
      <c r="H43" s="3">
        <f t="shared" si="10"/>
        <v>43.187958453989765</v>
      </c>
      <c r="I43" s="3">
        <f t="shared" si="10"/>
        <v>79.081944487848716</v>
      </c>
      <c r="J43" s="3">
        <f t="shared" si="10"/>
        <v>83.297674877173193</v>
      </c>
      <c r="K43" s="3">
        <f t="shared" si="10"/>
        <v>88.379418901449327</v>
      </c>
      <c r="L43" s="4">
        <f t="shared" si="10"/>
        <v>91.951698159629714</v>
      </c>
    </row>
    <row r="44" spans="3:12" ht="15" customHeight="1">
      <c r="C44" s="101">
        <v>120</v>
      </c>
      <c r="D44" s="102"/>
      <c r="E44" s="3">
        <f t="shared" si="11"/>
        <v>83.851572164554156</v>
      </c>
      <c r="F44" s="3">
        <f t="shared" si="10"/>
        <v>86.923279655353866</v>
      </c>
      <c r="G44" s="3">
        <f t="shared" si="10"/>
        <v>91.572641900014531</v>
      </c>
      <c r="H44" s="3">
        <f t="shared" si="10"/>
        <v>95.704637041684038</v>
      </c>
      <c r="I44" s="18">
        <f t="shared" si="10"/>
        <v>146.56735758076744</v>
      </c>
      <c r="J44" s="18">
        <f t="shared" si="10"/>
        <v>152.21140272515154</v>
      </c>
      <c r="K44" s="18">
        <f t="shared" si="10"/>
        <v>158.95016589730622</v>
      </c>
      <c r="L44" s="19">
        <f t="shared" si="10"/>
        <v>163.64818380853757</v>
      </c>
    </row>
    <row r="45" spans="3:12" ht="15" customHeight="1">
      <c r="C45" s="101">
        <v>200</v>
      </c>
      <c r="D45" s="102"/>
      <c r="E45" s="18">
        <f t="shared" si="11"/>
        <v>152.24099168737837</v>
      </c>
      <c r="F45" s="18">
        <f t="shared" si="10"/>
        <v>156.43196610759171</v>
      </c>
      <c r="G45" s="18">
        <f t="shared" si="10"/>
        <v>162.72798250184627</v>
      </c>
      <c r="H45" s="18">
        <f t="shared" si="10"/>
        <v>168.27855443662838</v>
      </c>
      <c r="I45" s="18">
        <f t="shared" si="10"/>
        <v>233.99426889232492</v>
      </c>
      <c r="J45" s="18">
        <f t="shared" si="10"/>
        <v>241.05789550631093</v>
      </c>
      <c r="K45" s="18">
        <f t="shared" si="10"/>
        <v>249.44512298144161</v>
      </c>
      <c r="L45" s="19">
        <f t="shared" si="10"/>
        <v>255.26415545152315</v>
      </c>
    </row>
    <row r="46" spans="3:12" ht="15" customHeight="1" thickBot="1">
      <c r="C46" s="103">
        <v>360</v>
      </c>
      <c r="D46" s="104"/>
      <c r="E46" s="20">
        <f t="shared" si="11"/>
        <v>294.64141489242485</v>
      </c>
      <c r="F46" s="20">
        <f t="shared" si="10"/>
        <v>300.53252904330634</v>
      </c>
      <c r="G46" s="20">
        <f t="shared" si="10"/>
        <v>309.32780124511254</v>
      </c>
      <c r="H46" s="20">
        <f t="shared" si="10"/>
        <v>317.02987097367986</v>
      </c>
      <c r="I46" s="20">
        <f t="shared" si="10"/>
        <v>405.24350231839315</v>
      </c>
      <c r="J46" s="20">
        <f t="shared" si="10"/>
        <v>414.45929417871719</v>
      </c>
      <c r="K46" s="20">
        <f t="shared" si="10"/>
        <v>425.34698063333047</v>
      </c>
      <c r="L46" s="21">
        <f t="shared" si="10"/>
        <v>432.86731499010989</v>
      </c>
    </row>
    <row r="47" spans="3:12" ht="15" customHeight="1" thickTop="1"/>
  </sheetData>
  <mergeCells count="50">
    <mergeCell ref="C42:D42"/>
    <mergeCell ref="C43:D43"/>
    <mergeCell ref="C44:D44"/>
    <mergeCell ref="C45:D45"/>
    <mergeCell ref="C46:D46"/>
    <mergeCell ref="C41:D41"/>
    <mergeCell ref="C30:D30"/>
    <mergeCell ref="C31:D31"/>
    <mergeCell ref="C32:D32"/>
    <mergeCell ref="C33:D33"/>
    <mergeCell ref="C34:D34"/>
    <mergeCell ref="C35:D35"/>
    <mergeCell ref="C36:D36"/>
    <mergeCell ref="C37:D37"/>
    <mergeCell ref="C38:D38"/>
    <mergeCell ref="C39:D39"/>
    <mergeCell ref="C40:D40"/>
    <mergeCell ref="C29:D29"/>
    <mergeCell ref="C18:D18"/>
    <mergeCell ref="C19:D19"/>
    <mergeCell ref="C20:D20"/>
    <mergeCell ref="C21:D21"/>
    <mergeCell ref="C22:D22"/>
    <mergeCell ref="C23:D23"/>
    <mergeCell ref="C24:D24"/>
    <mergeCell ref="C25:D25"/>
    <mergeCell ref="C26:D26"/>
    <mergeCell ref="C27:D27"/>
    <mergeCell ref="C28:D28"/>
    <mergeCell ref="C17:D17"/>
    <mergeCell ref="C6:D6"/>
    <mergeCell ref="C7:D7"/>
    <mergeCell ref="C8:D8"/>
    <mergeCell ref="C9:D9"/>
    <mergeCell ref="C10:D10"/>
    <mergeCell ref="C11:D11"/>
    <mergeCell ref="C12:D12"/>
    <mergeCell ref="C13:D13"/>
    <mergeCell ref="C14:D14"/>
    <mergeCell ref="C15:D15"/>
    <mergeCell ref="C16:D16"/>
    <mergeCell ref="C2:L2"/>
    <mergeCell ref="E4:E5"/>
    <mergeCell ref="F4:F5"/>
    <mergeCell ref="G4:G5"/>
    <mergeCell ref="H4:H5"/>
    <mergeCell ref="I4:I5"/>
    <mergeCell ref="J4:J5"/>
    <mergeCell ref="K4:K5"/>
    <mergeCell ref="L4:L5"/>
  </mergeCells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7</vt:i4>
      </vt:variant>
    </vt:vector>
  </HeadingPairs>
  <TitlesOfParts>
    <vt:vector size="7" baseType="lpstr">
      <vt:lpstr>テストの得点</vt:lpstr>
      <vt:lpstr>ネジの長さ</vt:lpstr>
      <vt:lpstr>バッテリーの寿命</vt:lpstr>
      <vt:lpstr>トマトの重量</vt:lpstr>
      <vt:lpstr>標準正規分布表</vt:lpstr>
      <vt:lpstr>t分布表</vt:lpstr>
      <vt:lpstr>カイ二乗分布表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 Ikegawa</dc:creator>
  <cp:lastModifiedBy>Maria Ikegawa</cp:lastModifiedBy>
  <dcterms:created xsi:type="dcterms:W3CDTF">2025-09-02T08:09:35Z</dcterms:created>
  <dcterms:modified xsi:type="dcterms:W3CDTF">2025-09-04T12:41:56Z</dcterms:modified>
</cp:coreProperties>
</file>