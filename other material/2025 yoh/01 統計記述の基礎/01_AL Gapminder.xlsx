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Week01 統計記述の基礎/"/>
    </mc:Choice>
  </mc:AlternateContent>
  <xr:revisionPtr revIDLastSave="0" documentId="8_{C9C2E49F-739D-604D-A1F4-8E0C8E645576}" xr6:coauthVersionLast="47" xr6:coauthVersionMax="47" xr10:uidLastSave="{00000000-0000-0000-0000-000000000000}"/>
  <bookViews>
    <workbookView xWindow="3260" yWindow="2160" windowWidth="28040" windowHeight="17440" xr2:uid="{5C76FFC2-7654-6C4C-939D-F4AFE964CF67}"/>
  </bookViews>
  <sheets>
    <sheet name="AL_csv" sheetId="3" r:id="rId1"/>
    <sheet name="Answers" sheetId="2" r:id="rId2"/>
  </sheets>
  <calcPr calcId="0"/>
</workbook>
</file>

<file path=xl/calcChain.xml><?xml version="1.0" encoding="utf-8"?>
<calcChain xmlns="http://schemas.openxmlformats.org/spreadsheetml/2006/main">
  <c r="F11" i="2" l="1"/>
  <c r="C11" i="2"/>
  <c r="D9" i="2" s="1"/>
  <c r="L10" i="2"/>
  <c r="F10" i="2"/>
  <c r="C10" i="2"/>
  <c r="L8" i="2"/>
  <c r="L9" i="2" s="1"/>
  <c r="D8" i="2"/>
  <c r="M7" i="2"/>
  <c r="L7" i="2"/>
  <c r="H7" i="2"/>
  <c r="G7" i="2"/>
  <c r="D7" i="2"/>
  <c r="M6" i="2"/>
  <c r="L6" i="2"/>
  <c r="G6" i="2"/>
  <c r="H6" i="2" s="1"/>
  <c r="D6" i="2"/>
  <c r="M5" i="2"/>
  <c r="L5" i="2"/>
  <c r="G5" i="2"/>
  <c r="H5" i="2" s="1"/>
  <c r="D5" i="2"/>
  <c r="G4" i="2"/>
  <c r="H4" i="2" s="1"/>
  <c r="D4" i="2"/>
  <c r="G3" i="2"/>
  <c r="D3" i="2"/>
  <c r="G8" i="2" l="1"/>
  <c r="H8" i="2" s="1"/>
  <c r="G9" i="2"/>
  <c r="H9" i="2" s="1"/>
  <c r="E9" i="2"/>
  <c r="I9" i="2"/>
  <c r="I8" i="2"/>
  <c r="E8" i="2"/>
  <c r="I7" i="2"/>
  <c r="E7" i="2"/>
  <c r="I6" i="2"/>
  <c r="E6" i="2"/>
  <c r="I5" i="2"/>
  <c r="E5" i="2"/>
  <c r="I4" i="2"/>
  <c r="E4" i="2"/>
  <c r="G10" i="2"/>
  <c r="H3" i="2"/>
  <c r="H10" i="2" s="1"/>
  <c r="H11" i="2" s="1"/>
  <c r="H12" i="2" s="1"/>
  <c r="I3" i="2"/>
  <c r="I10" i="2" s="1"/>
  <c r="I11" i="2" s="1"/>
  <c r="E3" i="2"/>
  <c r="E10" i="2" s="1"/>
  <c r="E11" i="2" s="1"/>
  <c r="E12" i="2" s="1"/>
  <c r="D10" i="2"/>
</calcChain>
</file>

<file path=xl/sharedStrings.xml><?xml version="1.0" encoding="utf-8"?>
<sst xmlns="http://schemas.openxmlformats.org/spreadsheetml/2006/main" count="55" uniqueCount="21">
  <si>
    <t>Country</t>
  </si>
  <si>
    <t>Life Expectancy</t>
  </si>
  <si>
    <t>GDP per Capita</t>
  </si>
  <si>
    <t>South Sudan</t>
  </si>
  <si>
    <t>India</t>
  </si>
  <si>
    <t>Egypt</t>
  </si>
  <si>
    <t>Brazil</t>
  </si>
  <si>
    <t>China</t>
  </si>
  <si>
    <t>Japan</t>
  </si>
  <si>
    <t>United States</t>
  </si>
  <si>
    <t>偏差</t>
  </si>
  <si>
    <t>偏差平方</t>
  </si>
  <si>
    <t>分散</t>
  </si>
  <si>
    <t>標準偏差</t>
  </si>
  <si>
    <t>平均値</t>
  </si>
  <si>
    <t>共分散</t>
  </si>
  <si>
    <t>相関係数</t>
  </si>
  <si>
    <t>GDP</t>
  </si>
  <si>
    <t>偏差の積</t>
  </si>
  <si>
    <t>平均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</si>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</sst>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4" formatCode="_(* #,##0.00_);_(* \(#,##0.00\);_(* &quot;-&quot;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3" xfId="0" applyBorder="1"/>
    <xf numFmtId="0" fontId="0" fillId="0" borderId="15" xfId="0" applyBorder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18" fillId="0" borderId="0" xfId="0" applyFont="1" applyBorder="1"/>
    <xf numFmtId="0" fontId="18" fillId="0" borderId="16" xfId="0" applyFont="1" applyBorder="1"/>
    <xf numFmtId="0" fontId="0" fillId="0" borderId="18" xfId="0" applyBorder="1"/>
    <xf numFmtId="0" fontId="0" fillId="0" borderId="19" xfId="0" applyBorder="1"/>
    <xf numFmtId="2" fontId="0" fillId="0" borderId="0" xfId="0" applyNumberFormat="1" applyBorder="1"/>
    <xf numFmtId="2" fontId="0" fillId="0" borderId="14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9" xfId="0" applyNumberFormat="1" applyBorder="1"/>
    <xf numFmtId="2" fontId="0" fillId="0" borderId="0" xfId="0" applyNumberFormat="1"/>
    <xf numFmtId="2" fontId="0" fillId="0" borderId="20" xfId="0" applyNumberFormat="1" applyBorder="1"/>
    <xf numFmtId="41" fontId="18" fillId="0" borderId="0" xfId="1" applyNumberFormat="1" applyFont="1" applyBorder="1"/>
    <xf numFmtId="41" fontId="18" fillId="0" borderId="16" xfId="1" applyNumberFormat="1" applyFont="1" applyBorder="1"/>
    <xf numFmtId="174" fontId="0" fillId="0" borderId="19" xfId="0" applyNumberFormat="1" applyBorder="1"/>
    <xf numFmtId="174" fontId="0" fillId="0" borderId="0" xfId="0" applyNumberFormat="1"/>
    <xf numFmtId="2" fontId="0" fillId="0" borderId="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B2A7-D867-6A41-AEF8-AE071BB7A9C0}">
  <dimension ref="B1:M12"/>
  <sheetViews>
    <sheetView tabSelected="1" zoomScale="131" workbookViewId="0">
      <selection activeCell="B13" sqref="B13"/>
    </sheetView>
  </sheetViews>
  <sheetFormatPr baseColWidth="10" defaultRowHeight="28" customHeight="1" x14ac:dyDescent="0.2"/>
  <cols>
    <col min="2" max="2" width="12" bestFit="1" customWidth="1"/>
    <col min="3" max="3" width="13.83203125" bestFit="1" customWidth="1"/>
    <col min="4" max="5" width="13.6640625" customWidth="1"/>
    <col min="6" max="6" width="13.83203125" bestFit="1" customWidth="1"/>
    <col min="7" max="7" width="11.33203125" bestFit="1" customWidth="1"/>
    <col min="8" max="8" width="14.6640625" bestFit="1" customWidth="1"/>
    <col min="9" max="9" width="11.33203125" bestFit="1" customWidth="1"/>
    <col min="12" max="13" width="15.5" customWidth="1"/>
  </cols>
  <sheetData>
    <row r="1" spans="2:13" ht="28" customHeight="1" thickBot="1" x14ac:dyDescent="0.25"/>
    <row r="2" spans="2:13" ht="28" customHeight="1" x14ac:dyDescent="0.2">
      <c r="B2" s="3" t="s">
        <v>0</v>
      </c>
      <c r="C2" s="4" t="s">
        <v>1</v>
      </c>
      <c r="D2" s="4" t="s">
        <v>10</v>
      </c>
      <c r="E2" s="4" t="s">
        <v>11</v>
      </c>
      <c r="F2" s="4" t="s">
        <v>2</v>
      </c>
      <c r="G2" s="4" t="s">
        <v>10</v>
      </c>
      <c r="H2" s="4" t="s">
        <v>11</v>
      </c>
      <c r="I2" s="5" t="s">
        <v>18</v>
      </c>
    </row>
    <row r="3" spans="2:13" ht="28" customHeight="1" thickBot="1" x14ac:dyDescent="0.25">
      <c r="B3" s="1" t="s">
        <v>3</v>
      </c>
      <c r="C3" s="6">
        <v>64.400000000000006</v>
      </c>
      <c r="D3" s="10"/>
      <c r="E3" s="10"/>
      <c r="F3" s="17">
        <v>354</v>
      </c>
      <c r="G3" s="10"/>
      <c r="H3" s="10"/>
      <c r="I3" s="11"/>
    </row>
    <row r="4" spans="2:13" ht="28" customHeight="1" x14ac:dyDescent="0.2">
      <c r="B4" s="1" t="s">
        <v>4</v>
      </c>
      <c r="C4" s="6">
        <v>71.900000000000006</v>
      </c>
      <c r="D4" s="10"/>
      <c r="E4" s="10"/>
      <c r="F4" s="17">
        <v>7570</v>
      </c>
      <c r="G4" s="10"/>
      <c r="H4" s="10"/>
      <c r="I4" s="11"/>
      <c r="K4" s="3"/>
      <c r="L4" s="4" t="s">
        <v>1</v>
      </c>
      <c r="M4" s="5" t="s">
        <v>17</v>
      </c>
    </row>
    <row r="5" spans="2:13" ht="28" customHeight="1" x14ac:dyDescent="0.2">
      <c r="B5" s="1" t="s">
        <v>5</v>
      </c>
      <c r="C5" s="6">
        <v>70.400000000000006</v>
      </c>
      <c r="D5" s="10"/>
      <c r="E5" s="10"/>
      <c r="F5" s="17">
        <v>13100</v>
      </c>
      <c r="G5" s="10"/>
      <c r="H5" s="10"/>
      <c r="I5" s="11"/>
      <c r="K5" s="1" t="s">
        <v>14</v>
      </c>
      <c r="L5" s="10"/>
      <c r="M5" s="11"/>
    </row>
    <row r="6" spans="2:13" ht="28" customHeight="1" x14ac:dyDescent="0.2">
      <c r="B6" s="1" t="s">
        <v>6</v>
      </c>
      <c r="C6" s="6">
        <v>76.7</v>
      </c>
      <c r="D6" s="10"/>
      <c r="E6" s="10"/>
      <c r="F6" s="17">
        <v>15500</v>
      </c>
      <c r="G6" s="10"/>
      <c r="H6" s="10"/>
      <c r="I6" s="11"/>
      <c r="K6" s="1" t="s">
        <v>12</v>
      </c>
      <c r="L6" s="10"/>
      <c r="M6" s="11"/>
    </row>
    <row r="7" spans="2:13" ht="28" customHeight="1" x14ac:dyDescent="0.2">
      <c r="B7" s="1" t="s">
        <v>7</v>
      </c>
      <c r="C7" s="6">
        <v>78.400000000000006</v>
      </c>
      <c r="D7" s="10"/>
      <c r="E7" s="10"/>
      <c r="F7" s="17">
        <v>19200</v>
      </c>
      <c r="G7" s="10"/>
      <c r="H7" s="10"/>
      <c r="I7" s="11"/>
      <c r="K7" s="1" t="s">
        <v>13</v>
      </c>
      <c r="L7" s="10"/>
      <c r="M7" s="11"/>
    </row>
    <row r="8" spans="2:13" ht="28" customHeight="1" x14ac:dyDescent="0.2">
      <c r="B8" s="1" t="s">
        <v>8</v>
      </c>
      <c r="C8" s="6">
        <v>85.3</v>
      </c>
      <c r="D8" s="10"/>
      <c r="E8" s="10"/>
      <c r="F8" s="17">
        <v>42600</v>
      </c>
      <c r="G8" s="10"/>
      <c r="H8" s="10"/>
      <c r="I8" s="11"/>
      <c r="K8" s="1" t="s">
        <v>15</v>
      </c>
      <c r="L8" s="21"/>
      <c r="M8" s="22"/>
    </row>
    <row r="9" spans="2:13" ht="28" customHeight="1" thickBot="1" x14ac:dyDescent="0.25">
      <c r="B9" s="2" t="s">
        <v>9</v>
      </c>
      <c r="C9" s="7">
        <v>79.5</v>
      </c>
      <c r="D9" s="12"/>
      <c r="E9" s="12"/>
      <c r="F9" s="18">
        <v>65900</v>
      </c>
      <c r="G9" s="12"/>
      <c r="H9" s="12"/>
      <c r="I9" s="13"/>
      <c r="K9" s="2" t="s">
        <v>16</v>
      </c>
      <c r="L9" s="23"/>
      <c r="M9" s="24"/>
    </row>
    <row r="10" spans="2:13" ht="28" customHeight="1" thickBot="1" x14ac:dyDescent="0.25">
      <c r="B10" s="8" t="s">
        <v>20</v>
      </c>
      <c r="C10" s="9"/>
      <c r="D10" s="14"/>
      <c r="E10" s="14"/>
      <c r="F10" s="19"/>
      <c r="G10" s="14"/>
      <c r="H10" s="14"/>
      <c r="I10" s="16"/>
      <c r="L10" s="15"/>
      <c r="M10" s="15"/>
    </row>
    <row r="11" spans="2:13" ht="28" customHeight="1" x14ac:dyDescent="0.2">
      <c r="B11" t="s">
        <v>19</v>
      </c>
      <c r="C11" s="15"/>
      <c r="D11" s="15" t="s">
        <v>12</v>
      </c>
      <c r="E11" s="15"/>
      <c r="F11" s="20"/>
      <c r="G11" s="15" t="s">
        <v>12</v>
      </c>
      <c r="H11" s="15"/>
      <c r="I11" s="15"/>
    </row>
    <row r="12" spans="2:13" ht="28" customHeight="1" x14ac:dyDescent="0.2">
      <c r="D12" s="15" t="s">
        <v>13</v>
      </c>
      <c r="E12" s="15"/>
      <c r="G12" s="15" t="s">
        <v>13</v>
      </c>
      <c r="H12" s="15"/>
      <c r="I12" s="15"/>
    </row>
  </sheetData>
  <mergeCells count="2">
    <mergeCell ref="L8:M8"/>
    <mergeCell ref="L9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94F9-1414-424F-A7CA-F4A04E6FBE75}">
  <dimension ref="B1:M12"/>
  <sheetViews>
    <sheetView zoomScale="131" workbookViewId="0">
      <selection activeCell="K15" sqref="K15"/>
    </sheetView>
  </sheetViews>
  <sheetFormatPr baseColWidth="10" defaultRowHeight="28" customHeight="1" x14ac:dyDescent="0.2"/>
  <cols>
    <col min="2" max="2" width="12" bestFit="1" customWidth="1"/>
    <col min="3" max="3" width="13.83203125" bestFit="1" customWidth="1"/>
    <col min="4" max="5" width="13.6640625" customWidth="1"/>
    <col min="6" max="6" width="13.83203125" bestFit="1" customWidth="1"/>
    <col min="7" max="7" width="11.33203125" bestFit="1" customWidth="1"/>
    <col min="8" max="8" width="14.6640625" bestFit="1" customWidth="1"/>
    <col min="9" max="9" width="11.33203125" bestFit="1" customWidth="1"/>
    <col min="12" max="13" width="15.5" customWidth="1"/>
  </cols>
  <sheetData>
    <row r="1" spans="2:13" ht="28" customHeight="1" thickBot="1" x14ac:dyDescent="0.25"/>
    <row r="2" spans="2:13" ht="28" customHeight="1" x14ac:dyDescent="0.2">
      <c r="B2" s="3" t="s">
        <v>0</v>
      </c>
      <c r="C2" s="4" t="s">
        <v>1</v>
      </c>
      <c r="D2" s="4" t="s">
        <v>10</v>
      </c>
      <c r="E2" s="4" t="s">
        <v>11</v>
      </c>
      <c r="F2" s="4" t="s">
        <v>2</v>
      </c>
      <c r="G2" s="4" t="s">
        <v>10</v>
      </c>
      <c r="H2" s="4" t="s">
        <v>11</v>
      </c>
      <c r="I2" s="5" t="s">
        <v>18</v>
      </c>
    </row>
    <row r="3" spans="2:13" ht="28" customHeight="1" thickBot="1" x14ac:dyDescent="0.25">
      <c r="B3" s="1" t="s">
        <v>3</v>
      </c>
      <c r="C3" s="6">
        <v>64.400000000000006</v>
      </c>
      <c r="D3" s="10">
        <f>C3-$C$11</f>
        <v>-10.828571428571436</v>
      </c>
      <c r="E3" s="10">
        <f>D3^2</f>
        <v>117.25795918367363</v>
      </c>
      <c r="F3" s="17">
        <v>354</v>
      </c>
      <c r="G3" s="10">
        <f>F3-$F$11</f>
        <v>-23106.571428571428</v>
      </c>
      <c r="H3" s="10">
        <f>G3^2</f>
        <v>533913643.18367344</v>
      </c>
      <c r="I3" s="11">
        <f>D3*G3</f>
        <v>250211.15918367365</v>
      </c>
    </row>
    <row r="4" spans="2:13" ht="28" customHeight="1" x14ac:dyDescent="0.2">
      <c r="B4" s="1" t="s">
        <v>4</v>
      </c>
      <c r="C4" s="6">
        <v>71.900000000000006</v>
      </c>
      <c r="D4" s="10">
        <f t="shared" ref="D4:D9" si="0">C4-$C$11</f>
        <v>-3.3285714285714363</v>
      </c>
      <c r="E4" s="10">
        <f t="shared" ref="E4:E9" si="1">D4^2</f>
        <v>11.079387755102092</v>
      </c>
      <c r="F4" s="17">
        <v>7570</v>
      </c>
      <c r="G4" s="10">
        <f t="shared" ref="G4:G9" si="2">F4-$F$11</f>
        <v>-15890.571428571428</v>
      </c>
      <c r="H4" s="10">
        <f t="shared" ref="H4:H9" si="3">G4^2</f>
        <v>252510260.32653058</v>
      </c>
      <c r="I4" s="11">
        <f t="shared" ref="I4:I9" si="4">D4*G4</f>
        <v>52892.902040816443</v>
      </c>
      <c r="K4" s="3"/>
      <c r="L4" s="4" t="s">
        <v>1</v>
      </c>
      <c r="M4" s="5" t="s">
        <v>17</v>
      </c>
    </row>
    <row r="5" spans="2:13" ht="28" customHeight="1" x14ac:dyDescent="0.2">
      <c r="B5" s="1" t="s">
        <v>5</v>
      </c>
      <c r="C5" s="6">
        <v>70.400000000000006</v>
      </c>
      <c r="D5" s="10">
        <f t="shared" si="0"/>
        <v>-4.8285714285714363</v>
      </c>
      <c r="E5" s="10">
        <f t="shared" si="1"/>
        <v>23.315102040816402</v>
      </c>
      <c r="F5" s="17">
        <v>13100</v>
      </c>
      <c r="G5" s="10">
        <f t="shared" si="2"/>
        <v>-10360.571428571428</v>
      </c>
      <c r="H5" s="10">
        <f t="shared" si="3"/>
        <v>107341440.32653059</v>
      </c>
      <c r="I5" s="11">
        <f t="shared" si="4"/>
        <v>50026.759183673545</v>
      </c>
      <c r="K5" s="1" t="s">
        <v>14</v>
      </c>
      <c r="L5" s="10">
        <f>AVERAGE(C3:C9)</f>
        <v>75.228571428571442</v>
      </c>
      <c r="M5" s="11">
        <f>AVERAGE(F3:F9)</f>
        <v>23460.571428571428</v>
      </c>
    </row>
    <row r="6" spans="2:13" ht="28" customHeight="1" x14ac:dyDescent="0.2">
      <c r="B6" s="1" t="s">
        <v>6</v>
      </c>
      <c r="C6" s="6">
        <v>76.7</v>
      </c>
      <c r="D6" s="10">
        <f t="shared" si="0"/>
        <v>1.4714285714285609</v>
      </c>
      <c r="E6" s="10">
        <f t="shared" si="1"/>
        <v>2.1651020408162953</v>
      </c>
      <c r="F6" s="17">
        <v>15500</v>
      </c>
      <c r="G6" s="10">
        <f t="shared" si="2"/>
        <v>-7960.5714285714275</v>
      </c>
      <c r="H6" s="10">
        <f t="shared" si="3"/>
        <v>63370697.46938774</v>
      </c>
      <c r="I6" s="11">
        <f t="shared" si="4"/>
        <v>-11713.412244897874</v>
      </c>
      <c r="K6" s="1" t="s">
        <v>12</v>
      </c>
      <c r="L6" s="10">
        <f>_xlfn.VAR.P(C3:C9)</f>
        <v>40.50775510204079</v>
      </c>
      <c r="M6" s="11">
        <f>_xlfn.VAR.P(F3:F9)</f>
        <v>448958761.95918369</v>
      </c>
    </row>
    <row r="7" spans="2:13" ht="28" customHeight="1" x14ac:dyDescent="0.2">
      <c r="B7" s="1" t="s">
        <v>7</v>
      </c>
      <c r="C7" s="6">
        <v>78.400000000000006</v>
      </c>
      <c r="D7" s="10">
        <f t="shared" si="0"/>
        <v>3.1714285714285637</v>
      </c>
      <c r="E7" s="10">
        <f t="shared" si="1"/>
        <v>10.05795918367342</v>
      </c>
      <c r="F7" s="17">
        <v>19200</v>
      </c>
      <c r="G7" s="10">
        <f t="shared" si="2"/>
        <v>-4260.5714285714275</v>
      </c>
      <c r="H7" s="10">
        <f t="shared" si="3"/>
        <v>18152468.897959176</v>
      </c>
      <c r="I7" s="11">
        <f t="shared" si="4"/>
        <v>-13512.097959183637</v>
      </c>
      <c r="K7" s="1" t="s">
        <v>13</v>
      </c>
      <c r="L7" s="10">
        <f>_xlfn.STDEV.P(C3:C9)</f>
        <v>6.3645702998742024</v>
      </c>
      <c r="M7" s="11">
        <f>_xlfn.STDEV.P(F3:F9)</f>
        <v>21188.647006337702</v>
      </c>
    </row>
    <row r="8" spans="2:13" ht="28" customHeight="1" x14ac:dyDescent="0.2">
      <c r="B8" s="1" t="s">
        <v>8</v>
      </c>
      <c r="C8" s="6">
        <v>85.3</v>
      </c>
      <c r="D8" s="10">
        <f t="shared" si="0"/>
        <v>10.071428571428555</v>
      </c>
      <c r="E8" s="10">
        <f t="shared" si="1"/>
        <v>101.43367346938743</v>
      </c>
      <c r="F8" s="17">
        <v>42600</v>
      </c>
      <c r="G8" s="10">
        <f t="shared" si="2"/>
        <v>19139.428571428572</v>
      </c>
      <c r="H8" s="10">
        <f t="shared" si="3"/>
        <v>366317726.04081637</v>
      </c>
      <c r="I8" s="11">
        <f t="shared" si="4"/>
        <v>192761.38775510175</v>
      </c>
      <c r="K8" s="1" t="s">
        <v>15</v>
      </c>
      <c r="L8" s="21">
        <f>_xlfn.COVARIANCE.P(C3:C9,F3:F9)</f>
        <v>100277.66938775506</v>
      </c>
      <c r="M8" s="22"/>
    </row>
    <row r="9" spans="2:13" ht="28" customHeight="1" thickBot="1" x14ac:dyDescent="0.25">
      <c r="B9" s="2" t="s">
        <v>9</v>
      </c>
      <c r="C9" s="7">
        <v>79.5</v>
      </c>
      <c r="D9" s="12">
        <f t="shared" si="0"/>
        <v>4.271428571428558</v>
      </c>
      <c r="E9" s="12">
        <f t="shared" si="1"/>
        <v>18.245102040816214</v>
      </c>
      <c r="F9" s="18">
        <v>65900</v>
      </c>
      <c r="G9" s="12">
        <f t="shared" si="2"/>
        <v>42439.428571428572</v>
      </c>
      <c r="H9" s="12">
        <f t="shared" si="3"/>
        <v>1801105097.4693878</v>
      </c>
      <c r="I9" s="13">
        <f t="shared" si="4"/>
        <v>181276.98775510147</v>
      </c>
      <c r="K9" s="2" t="s">
        <v>16</v>
      </c>
      <c r="L9" s="23">
        <f>L8/(L7*M7)</f>
        <v>0.74358722175147129</v>
      </c>
      <c r="M9" s="24"/>
    </row>
    <row r="10" spans="2:13" ht="28" customHeight="1" thickBot="1" x14ac:dyDescent="0.25">
      <c r="B10" s="8"/>
      <c r="C10" s="9">
        <f>SUM(C3:C9)</f>
        <v>526.60000000000014</v>
      </c>
      <c r="D10" s="14">
        <f t="shared" ref="D10:I10" si="5">SUM(D3:D9)</f>
        <v>-7.1054273576010019E-14</v>
      </c>
      <c r="E10" s="14">
        <f t="shared" si="5"/>
        <v>283.55428571428553</v>
      </c>
      <c r="F10" s="19">
        <f t="shared" si="5"/>
        <v>164224</v>
      </c>
      <c r="G10" s="14">
        <f t="shared" si="5"/>
        <v>0</v>
      </c>
      <c r="H10" s="14">
        <f t="shared" si="5"/>
        <v>3142711333.7142859</v>
      </c>
      <c r="I10" s="16">
        <f t="shared" si="5"/>
        <v>701943.68571428536</v>
      </c>
      <c r="L10" s="15">
        <f>CORREL(C3:C9,F3:F9)</f>
        <v>0.74358722175147129</v>
      </c>
      <c r="M10" s="15"/>
    </row>
    <row r="11" spans="2:13" ht="28" customHeight="1" x14ac:dyDescent="0.2">
      <c r="B11" t="s">
        <v>19</v>
      </c>
      <c r="C11" s="15">
        <f>AVERAGE(C3:C9)</f>
        <v>75.228571428571442</v>
      </c>
      <c r="D11" s="15" t="s">
        <v>12</v>
      </c>
      <c r="E11" s="15">
        <f>E10/COUNTA(B3:B9)</f>
        <v>40.50775510204079</v>
      </c>
      <c r="F11" s="20">
        <f>AVERAGE(F3:F9)</f>
        <v>23460.571428571428</v>
      </c>
      <c r="G11" s="15" t="s">
        <v>12</v>
      </c>
      <c r="H11" s="15">
        <f>H10/COUNTA(B3:B9)</f>
        <v>448958761.95918369</v>
      </c>
      <c r="I11" s="15">
        <f>I10/COUNTA(C3:C9)</f>
        <v>100277.66938775506</v>
      </c>
    </row>
    <row r="12" spans="2:13" ht="28" customHeight="1" x14ac:dyDescent="0.2">
      <c r="D12" s="15" t="s">
        <v>13</v>
      </c>
      <c r="E12" s="15">
        <f>SQRT(E11)</f>
        <v>6.3645702998742024</v>
      </c>
      <c r="G12" s="15" t="s">
        <v>13</v>
      </c>
      <c r="H12" s="15">
        <f>SQRT(H11)</f>
        <v>21188.647006337702</v>
      </c>
      <c r="I12" s="15"/>
    </row>
  </sheetData>
  <mergeCells count="2">
    <mergeCell ref="L8:M8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AL_csv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河野　洋</dc:creator>
  <cp:lastModifiedBy>河野　洋</cp:lastModifiedBy>
  <dcterms:created xsi:type="dcterms:W3CDTF">2025-09-29T04:43:20Z</dcterms:created>
  <dcterms:modified xsi:type="dcterms:W3CDTF">2025-09-29T04:51:06Z</dcterms:modified>
</cp:coreProperties>
</file>