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c3cba06d62d1bc/文系のためのデータリテラシー/"/>
    </mc:Choice>
  </mc:AlternateContent>
  <xr:revisionPtr revIDLastSave="160" documentId="8_{B0F489A3-9C22-4807-9DDE-C6D94E422BA0}" xr6:coauthVersionLast="47" xr6:coauthVersionMax="47" xr10:uidLastSave="{F5EEBBEF-A2F6-41CA-A262-750624A70AE0}"/>
  <bookViews>
    <workbookView xWindow="-120" yWindow="-120" windowWidth="29040" windowHeight="15720" activeTab="1" xr2:uid="{FDFCF927-3E8D-435A-85C1-BB10EAEEE024}"/>
  </bookViews>
  <sheets>
    <sheet name="推測統計学のプロセス" sheetId="3" r:id="rId1"/>
    <sheet name="選挙の標本調査の結果" sheetId="4" r:id="rId2"/>
    <sheet name="Sheet2" sheetId="2" r:id="rId3"/>
    <sheet name="Sheet3" sheetId="6" r:id="rId4"/>
    <sheet name="Sheet1" sheetId="5" r:id="rId5"/>
    <sheet name="ベン図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E8" i="5"/>
  <c r="C4" i="5"/>
  <c r="C5" i="5"/>
  <c r="C6" i="5"/>
  <c r="C7" i="5"/>
  <c r="C8" i="5"/>
  <c r="C9" i="5"/>
  <c r="C10" i="5"/>
  <c r="C11" i="5"/>
  <c r="C12" i="5"/>
  <c r="C13" i="5"/>
  <c r="C3" i="5"/>
  <c r="D4" i="5"/>
  <c r="D5" i="5"/>
  <c r="D6" i="5"/>
  <c r="D7" i="5"/>
  <c r="D8" i="5"/>
  <c r="D9" i="5"/>
  <c r="D10" i="5"/>
  <c r="D11" i="5"/>
  <c r="D12" i="5"/>
  <c r="D13" i="5"/>
  <c r="D3" i="5"/>
  <c r="G12" i="4"/>
  <c r="G11" i="4"/>
</calcChain>
</file>

<file path=xl/sharedStrings.xml><?xml version="1.0" encoding="utf-8"?>
<sst xmlns="http://schemas.openxmlformats.org/spreadsheetml/2006/main" count="437" uniqueCount="19">
  <si>
    <t>Ω</t>
    <phoneticPr fontId="1"/>
  </si>
  <si>
    <t>A</t>
    <phoneticPr fontId="1"/>
  </si>
  <si>
    <t>B</t>
    <phoneticPr fontId="1"/>
  </si>
  <si>
    <t>C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</si>
  <si>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</si>
  <si>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</si>
  <si>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</si>
  <si>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</si>
  <si>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</si>
  <si>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</si>
  <si>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</si>
  <si>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</si>
  <si>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</si>
  <si>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（1）Ａ氏に投票する</t>
    <phoneticPr fontId="1"/>
  </si>
  <si>
    <t>（2）Ｂ氏に投票する</t>
    <phoneticPr fontId="1"/>
  </si>
  <si>
    <t>人数</t>
    <rPh sb="0" eb="2">
      <t>ニンズウ</t>
    </rPh>
    <phoneticPr fontId="1"/>
  </si>
  <si>
    <t>合計</t>
    <rPh sb="0" eb="2">
      <t>ゴウケイ</t>
    </rPh>
    <phoneticPr fontId="1"/>
  </si>
  <si>
    <t>割合</t>
    <rPh sb="0" eb="2">
      <t>ワリアイ</t>
    </rPh>
    <phoneticPr fontId="1"/>
  </si>
  <si>
    <t>メモ：パワポの「図形」→結合機能を利用</t>
    <rPh sb="8" eb="10">
      <t>ズケイ</t>
    </rPh>
    <rPh sb="12" eb="16">
      <t>ケツゴウキノウ</t>
    </rPh>
    <rPh sb="17" eb="19">
      <t>リヨウ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</si>
</sst>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回&quot;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Cambria"/>
      <family val="1"/>
    </font>
    <font>
      <sz val="16"/>
      <color theme="1"/>
      <name val="游ゴシック"/>
      <family val="2"/>
      <charset val="128"/>
      <scheme val="minor"/>
    </font>
    <font>
      <i/>
      <sz val="16"/>
      <color theme="1"/>
      <name val="Cambria"/>
      <family val="1"/>
    </font>
    <font>
      <sz val="11"/>
      <color theme="1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lightVertical">
        <fgColor theme="2" tint="-0.24994659260841701"/>
        <bgColor indexed="65"/>
      </patternFill>
    </fill>
    <fill>
      <patternFill patternType="lightHorizontal">
        <fgColor theme="2" tint="-0.24994659260841701"/>
        <bgColor indexed="65"/>
      </patternFill>
    </fill>
    <fill>
      <patternFill patternType="lightGrid">
        <fgColor theme="2" tint="-0.24994659260841701"/>
        <bgColor indexed="65"/>
      </patternFill>
    </fill>
    <fill>
      <patternFill patternType="solid">
        <fgColor theme="1"/>
        <bgColor indexed="64"/>
      </patternFill>
    </fill>
    <fill>
      <patternFill patternType="gray125">
        <bgColor theme="1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>
      <alignment vertical="center"/>
    </xf>
    <xf numFmtId="9" fontId="0" fillId="0" borderId="0" xfId="1" applyFont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1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13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4" fillId="1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8" xfId="0" applyBorder="1" applyAlignment="1">
      <alignment horizontal="center" vertical="center"/>
    </xf>
    <xf numFmtId="9" fontId="0" fillId="0" borderId="8" xfId="1" applyFont="1" applyBorder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23780556752425E-2"/>
          <c:y val="5.0506566034352419E-2"/>
          <c:w val="0.94795243888649516"/>
          <c:h val="0.7827205144073958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Sheet3!$C$4:$C$44</c:f>
              <c:numCache>
                <c:formatCode>0.00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-0.39999999999999902</c:v>
                </c:pt>
                <c:pt idx="13">
                  <c:v>-0.34999999999999898</c:v>
                </c:pt>
                <c:pt idx="14">
                  <c:v>-0.29999999999999899</c:v>
                </c:pt>
                <c:pt idx="15">
                  <c:v>-0.249999999999999</c:v>
                </c:pt>
                <c:pt idx="16">
                  <c:v>-0.19999999999999901</c:v>
                </c:pt>
                <c:pt idx="17">
                  <c:v>-0.149999999999999</c:v>
                </c:pt>
                <c:pt idx="18">
                  <c:v>-9.9999999999999006E-2</c:v>
                </c:pt>
                <c:pt idx="19">
                  <c:v>-4.9999999999998997E-2</c:v>
                </c:pt>
                <c:pt idx="20">
                  <c:v>0</c:v>
                </c:pt>
                <c:pt idx="21">
                  <c:v>0.05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0.35</c:v>
                </c:pt>
                <c:pt idx="28">
                  <c:v>0.4</c:v>
                </c:pt>
                <c:pt idx="29">
                  <c:v>0.45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</c:v>
                </c:pt>
                <c:pt idx="33">
                  <c:v>0.65</c:v>
                </c:pt>
                <c:pt idx="34">
                  <c:v>0.7</c:v>
                </c:pt>
                <c:pt idx="35">
                  <c:v>0.75</c:v>
                </c:pt>
                <c:pt idx="36">
                  <c:v>0.8</c:v>
                </c:pt>
                <c:pt idx="37">
                  <c:v>0.85</c:v>
                </c:pt>
                <c:pt idx="38">
                  <c:v>0.9</c:v>
                </c:pt>
                <c:pt idx="39">
                  <c:v>0.95</c:v>
                </c:pt>
                <c:pt idx="40">
                  <c:v>1</c:v>
                </c:pt>
              </c:numCache>
            </c:numRef>
          </c:xVal>
          <c:yVal>
            <c:numRef>
              <c:f>Sheet3!$D$4:$D$44</c:f>
              <c:numCache>
                <c:formatCode>General</c:formatCode>
                <c:ptCount val="41"/>
                <c:pt idx="0">
                  <c:v>8.0999109560891041E-5</c:v>
                </c:pt>
                <c:pt idx="1">
                  <c:v>2.147421833866224E-4</c:v>
                </c:pt>
                <c:pt idx="2">
                  <c:v>5.4155149644273223E-4</c:v>
                </c:pt>
                <c:pt idx="3">
                  <c:v>1.2991145052273798E-3</c:v>
                </c:pt>
                <c:pt idx="4">
                  <c:v>2.9644244014386508E-3</c:v>
                </c:pt>
                <c:pt idx="5">
                  <c:v>6.4345562673932266E-3</c:v>
                </c:pt>
                <c:pt idx="6">
                  <c:v>1.3285628439771074E-2</c:v>
                </c:pt>
                <c:pt idx="7">
                  <c:v>2.6093412362193213E-2</c:v>
                </c:pt>
                <c:pt idx="8">
                  <c:v>4.8748912161279474E-2</c:v>
                </c:pt>
                <c:pt idx="9">
                  <c:v>8.6633179955660694E-2</c:v>
                </c:pt>
                <c:pt idx="10">
                  <c:v>0.14644982561926481</c:v>
                </c:pt>
                <c:pt idx="11">
                  <c:v>0.2354933988150951</c:v>
                </c:pt>
                <c:pt idx="12">
                  <c:v>0.3602084467215394</c:v>
                </c:pt>
                <c:pt idx="13">
                  <c:v>0.52410019745279723</c:v>
                </c:pt>
                <c:pt idx="14">
                  <c:v>0.72537073483923376</c:v>
                </c:pt>
                <c:pt idx="15">
                  <c:v>0.95497282306711784</c:v>
                </c:pt>
                <c:pt idx="16">
                  <c:v>1.1959341596728246</c:v>
                </c:pt>
                <c:pt idx="17">
                  <c:v>1.4246520430277307</c:v>
                </c:pt>
                <c:pt idx="18">
                  <c:v>1.6143422587153653</c:v>
                </c:pt>
                <c:pt idx="19">
                  <c:v>1.7400739347725878</c:v>
                </c:pt>
                <c:pt idx="20">
                  <c:v>1.7841241161527712</c:v>
                </c:pt>
                <c:pt idx="21">
                  <c:v>1.740073934772586</c:v>
                </c:pt>
                <c:pt idx="22">
                  <c:v>1.6143422587153617</c:v>
                </c:pt>
                <c:pt idx="23">
                  <c:v>1.4246520430277267</c:v>
                </c:pt>
                <c:pt idx="24">
                  <c:v>1.1959341596728197</c:v>
                </c:pt>
                <c:pt idx="25">
                  <c:v>0.95497282306711306</c:v>
                </c:pt>
                <c:pt idx="26">
                  <c:v>0.72537073483922931</c:v>
                </c:pt>
                <c:pt idx="27">
                  <c:v>0.52410019745279357</c:v>
                </c:pt>
                <c:pt idx="28">
                  <c:v>0.36020844672153657</c:v>
                </c:pt>
                <c:pt idx="29">
                  <c:v>0.2354933988150951</c:v>
                </c:pt>
                <c:pt idx="30">
                  <c:v>0.14644982561926481</c:v>
                </c:pt>
                <c:pt idx="31">
                  <c:v>8.6633179955660694E-2</c:v>
                </c:pt>
                <c:pt idx="32">
                  <c:v>4.8748912161279474E-2</c:v>
                </c:pt>
                <c:pt idx="33">
                  <c:v>2.6093412362193213E-2</c:v>
                </c:pt>
                <c:pt idx="34">
                  <c:v>1.3285628439771074E-2</c:v>
                </c:pt>
                <c:pt idx="35">
                  <c:v>6.4345562673932266E-3</c:v>
                </c:pt>
                <c:pt idx="36">
                  <c:v>2.9644244014386508E-3</c:v>
                </c:pt>
                <c:pt idx="37">
                  <c:v>1.2991145052273798E-3</c:v>
                </c:pt>
                <c:pt idx="38">
                  <c:v>5.4155149644273223E-4</c:v>
                </c:pt>
                <c:pt idx="39">
                  <c:v>2.147421833866224E-4</c:v>
                </c:pt>
                <c:pt idx="40">
                  <c:v>8.0999109560891041E-5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87-43DB-BA89-59FD11F36E21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Sheet3!$C$4:$C$44</c:f>
              <c:numCache>
                <c:formatCode>0.00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-0.9</c:v>
                </c:pt>
                <c:pt idx="3">
                  <c:v>-0.85</c:v>
                </c:pt>
                <c:pt idx="4">
                  <c:v>-0.8</c:v>
                </c:pt>
                <c:pt idx="5">
                  <c:v>-0.75</c:v>
                </c:pt>
                <c:pt idx="6">
                  <c:v>-0.7</c:v>
                </c:pt>
                <c:pt idx="7">
                  <c:v>-0.65</c:v>
                </c:pt>
                <c:pt idx="8">
                  <c:v>-0.6</c:v>
                </c:pt>
                <c:pt idx="9">
                  <c:v>-0.55000000000000004</c:v>
                </c:pt>
                <c:pt idx="10">
                  <c:v>-0.5</c:v>
                </c:pt>
                <c:pt idx="11">
                  <c:v>-0.45</c:v>
                </c:pt>
                <c:pt idx="12">
                  <c:v>-0.39999999999999902</c:v>
                </c:pt>
                <c:pt idx="13">
                  <c:v>-0.34999999999999898</c:v>
                </c:pt>
                <c:pt idx="14">
                  <c:v>-0.29999999999999899</c:v>
                </c:pt>
                <c:pt idx="15">
                  <c:v>-0.249999999999999</c:v>
                </c:pt>
                <c:pt idx="16">
                  <c:v>-0.19999999999999901</c:v>
                </c:pt>
                <c:pt idx="17">
                  <c:v>-0.149999999999999</c:v>
                </c:pt>
                <c:pt idx="18">
                  <c:v>-9.9999999999999006E-2</c:v>
                </c:pt>
                <c:pt idx="19">
                  <c:v>-4.9999999999998997E-2</c:v>
                </c:pt>
                <c:pt idx="20">
                  <c:v>0</c:v>
                </c:pt>
                <c:pt idx="21">
                  <c:v>0.05</c:v>
                </c:pt>
                <c:pt idx="22">
                  <c:v>0.1</c:v>
                </c:pt>
                <c:pt idx="23">
                  <c:v>0.15</c:v>
                </c:pt>
                <c:pt idx="24">
                  <c:v>0.2</c:v>
                </c:pt>
                <c:pt idx="25">
                  <c:v>0.25</c:v>
                </c:pt>
                <c:pt idx="26">
                  <c:v>0.3</c:v>
                </c:pt>
                <c:pt idx="27">
                  <c:v>0.35</c:v>
                </c:pt>
                <c:pt idx="28">
                  <c:v>0.4</c:v>
                </c:pt>
                <c:pt idx="29">
                  <c:v>0.45</c:v>
                </c:pt>
                <c:pt idx="30">
                  <c:v>0.5</c:v>
                </c:pt>
                <c:pt idx="31">
                  <c:v>0.55000000000000004</c:v>
                </c:pt>
                <c:pt idx="32">
                  <c:v>0.6</c:v>
                </c:pt>
                <c:pt idx="33">
                  <c:v>0.65</c:v>
                </c:pt>
                <c:pt idx="34">
                  <c:v>0.7</c:v>
                </c:pt>
                <c:pt idx="35">
                  <c:v>0.75</c:v>
                </c:pt>
                <c:pt idx="36">
                  <c:v>0.8</c:v>
                </c:pt>
                <c:pt idx="37">
                  <c:v>0.85</c:v>
                </c:pt>
                <c:pt idx="38">
                  <c:v>0.9</c:v>
                </c:pt>
                <c:pt idx="39">
                  <c:v>0.95</c:v>
                </c:pt>
                <c:pt idx="40">
                  <c:v>1</c:v>
                </c:pt>
              </c:numCache>
            </c:numRef>
          </c:xVal>
          <c:yVal>
            <c:numRef>
              <c:f>Sheet3!$E$4:$E$44</c:f>
              <c:numCache>
                <c:formatCode>General</c:formatCode>
                <c:ptCount val="41"/>
                <c:pt idx="0">
                  <c:v>2.0988281156771786E-43</c:v>
                </c:pt>
                <c:pt idx="1">
                  <c:v>3.6003777727699886E-39</c:v>
                </c:pt>
                <c:pt idx="2">
                  <c:v>3.7460367141229876E-35</c:v>
                </c:pt>
                <c:pt idx="3">
                  <c:v>2.3640069344281157E-31</c:v>
                </c:pt>
                <c:pt idx="4">
                  <c:v>9.0485339842797929E-28</c:v>
                </c:pt>
                <c:pt idx="5">
                  <c:v>2.1006826890574794E-24</c:v>
                </c:pt>
                <c:pt idx="6">
                  <c:v>2.9579814790015349E-21</c:v>
                </c:pt>
                <c:pt idx="7">
                  <c:v>2.5262900015313266E-18</c:v>
                </c:pt>
                <c:pt idx="8">
                  <c:v>1.308650619624642E-15</c:v>
                </c:pt>
                <c:pt idx="9">
                  <c:v>4.111658022631447E-13</c:v>
                </c:pt>
                <c:pt idx="10">
                  <c:v>7.8354332655086409E-11</c:v>
                </c:pt>
                <c:pt idx="11">
                  <c:v>9.0565294795434514E-9</c:v>
                </c:pt>
                <c:pt idx="12">
                  <c:v>6.3491173359337755E-7</c:v>
                </c:pt>
                <c:pt idx="13">
                  <c:v>2.6997133886925834E-5</c:v>
                </c:pt>
                <c:pt idx="14">
                  <c:v>6.9626525973378272E-4</c:v>
                </c:pt>
                <c:pt idx="15">
                  <c:v>1.0891421151764093E-2</c:v>
                </c:pt>
                <c:pt idx="16">
                  <c:v>0.10333492677046437</c:v>
                </c:pt>
                <c:pt idx="17">
                  <c:v>0.59465144611816512</c:v>
                </c:pt>
                <c:pt idx="18">
                  <c:v>2.075537487103015</c:v>
                </c:pt>
                <c:pt idx="19">
                  <c:v>4.3939128946772685</c:v>
                </c:pt>
                <c:pt idx="20">
                  <c:v>5.6418958354775635</c:v>
                </c:pt>
                <c:pt idx="21">
                  <c:v>4.3939128946772241</c:v>
                </c:pt>
                <c:pt idx="22">
                  <c:v>2.0755374871029733</c:v>
                </c:pt>
                <c:pt idx="23">
                  <c:v>0.59465144611814724</c:v>
                </c:pt>
                <c:pt idx="24">
                  <c:v>0.1033349267704602</c:v>
                </c:pt>
                <c:pt idx="25">
                  <c:v>1.0891421151763539E-2</c:v>
                </c:pt>
                <c:pt idx="26">
                  <c:v>6.9626525973374065E-4</c:v>
                </c:pt>
                <c:pt idx="27">
                  <c:v>2.6997133886923916E-5</c:v>
                </c:pt>
                <c:pt idx="28">
                  <c:v>6.3491173359332577E-7</c:v>
                </c:pt>
                <c:pt idx="29">
                  <c:v>9.0565294795434514E-9</c:v>
                </c:pt>
                <c:pt idx="30">
                  <c:v>7.8354332655086409E-11</c:v>
                </c:pt>
                <c:pt idx="31">
                  <c:v>4.111658022631447E-13</c:v>
                </c:pt>
                <c:pt idx="32">
                  <c:v>1.308650619624642E-15</c:v>
                </c:pt>
                <c:pt idx="33">
                  <c:v>2.5262900015313266E-18</c:v>
                </c:pt>
                <c:pt idx="34">
                  <c:v>2.9579814790015349E-21</c:v>
                </c:pt>
                <c:pt idx="35">
                  <c:v>2.1006826890574794E-24</c:v>
                </c:pt>
                <c:pt idx="36">
                  <c:v>9.0485339842797929E-28</c:v>
                </c:pt>
                <c:pt idx="37">
                  <c:v>2.3640069344281157E-31</c:v>
                </c:pt>
                <c:pt idx="38">
                  <c:v>3.7460367141229876E-35</c:v>
                </c:pt>
                <c:pt idx="39">
                  <c:v>3.6003777727699886E-39</c:v>
                </c:pt>
                <c:pt idx="40">
                  <c:v>2.0988281156771786E-43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87-43DB-BA89-59FD11F36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34480"/>
        <c:axId val="1546535920"/>
      </c:scatterChart>
      <c:valAx>
        <c:axId val="1546534480"/>
        <c:scaling>
          <c:orientation val="minMax"/>
          <c:max val="1"/>
          <c:min val="-1"/>
        </c:scaling>
        <c:delete val="1"/>
        <c:axPos val="b"/>
        <c:numFmt formatCode="0.00" sourceLinked="1"/>
        <c:majorTickMark val="none"/>
        <c:minorTickMark val="none"/>
        <c:tickLblPos val="nextTo"/>
        <c:crossAx val="1546535920"/>
        <c:crosses val="autoZero"/>
        <c:crossBetween val="midCat"/>
      </c:valAx>
      <c:valAx>
        <c:axId val="1546535920"/>
        <c:scaling>
          <c:orientation val="minMax"/>
          <c:max val="6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54653448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99093717415247E-2"/>
          <c:y val="0.14029988465974624"/>
          <c:w val="0.87432377860798893"/>
          <c:h val="0.73980800842801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Sheet1!$B$3:$B$13</c:f>
              <c:numCache>
                <c:formatCode>0"回"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Sheet1!$D$3:$D$13</c:f>
              <c:numCache>
                <c:formatCode>0%</c:formatCode>
                <c:ptCount val="11"/>
                <c:pt idx="0">
                  <c:v>9.765625E-4</c:v>
                </c:pt>
                <c:pt idx="1">
                  <c:v>9.7656250000000017E-3</c:v>
                </c:pt>
                <c:pt idx="2">
                  <c:v>4.3945312499999972E-2</c:v>
                </c:pt>
                <c:pt idx="3">
                  <c:v>0.11718750000000003</c:v>
                </c:pt>
                <c:pt idx="4">
                  <c:v>0.20507812500000006</c:v>
                </c:pt>
                <c:pt idx="5">
                  <c:v>0.24609375000000008</c:v>
                </c:pt>
                <c:pt idx="6">
                  <c:v>0.20507812500000006</c:v>
                </c:pt>
                <c:pt idx="7">
                  <c:v>0.11718750000000003</c:v>
                </c:pt>
                <c:pt idx="8">
                  <c:v>4.3945312499999986E-2</c:v>
                </c:pt>
                <c:pt idx="9">
                  <c:v>9.7656250000000017E-3</c:v>
                </c:pt>
                <c:pt idx="10">
                  <c:v>9.765625E-4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B-48B6-A684-24E42F82F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4544"/>
        <c:axId val="19065792"/>
      </c:barChart>
      <c:catAx>
        <c:axId val="19064544"/>
        <c:scaling>
          <c:orientation val="minMax"/>
        </c:scaling>
        <c:delete val="0"/>
        <c:axPos val="b"/>
        <c:numFmt formatCode="0&quot;回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65792"/>
        <c:crosses val="autoZero"/>
        <c:auto val="1"/>
        <c:lblAlgn val="ctr"/>
        <c:lblOffset val="100"/>
        <c:noMultiLvlLbl val="0"/>
      </c:catAx>
      <c:valAx>
        <c:axId val="1906579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0645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image" Target="../media/image1.emf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19050</xdr:rowOff>
    </xdr:from>
    <xdr:to>
      <xdr:col>6</xdr:col>
      <xdr:colOff>657225</xdr:colOff>
      <xdr:row>14</xdr:row>
      <xdr:rowOff>133350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752725" y="1447800"/>
          <a:ext cx="2019300" cy="2019300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母集団</a:t>
          </a:r>
        </a:p>
      </xdr:txBody>
    </xdr:sp>
    <xdr:clientData/>
  </xdr:twoCellAnchor>
  <xdr:twoCellAnchor>
    <xdr:from>
      <xdr:col>9</xdr:col>
      <xdr:colOff>676275</xdr:colOff>
      <xdr:row>6</xdr:row>
      <xdr:rowOff>19050</xdr:rowOff>
    </xdr:from>
    <xdr:to>
      <xdr:col>12</xdr:col>
      <xdr:colOff>638175</xdr:colOff>
      <xdr:row>14</xdr:row>
      <xdr:rowOff>133350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848475" y="1447800"/>
          <a:ext cx="2019300" cy="2019300"/>
        </a:xfrm>
        <a:prstGeom prst="ellipse">
          <a:avLst/>
        </a:prstGeom>
        <a:noFill/>
        <a:ln>
          <a:solidFill>
            <a:sysClr val="windowText" lastClr="00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母集団</a:t>
          </a:r>
        </a:p>
      </xdr:txBody>
    </xdr:sp>
    <xdr:clientData/>
  </xdr:twoCellAnchor>
  <xdr:twoCellAnchor>
    <xdr:from>
      <xdr:col>10</xdr:col>
      <xdr:colOff>466725</xdr:colOff>
      <xdr:row>7</xdr:row>
      <xdr:rowOff>228599</xdr:rowOff>
    </xdr:from>
    <xdr:to>
      <xdr:col>12</xdr:col>
      <xdr:colOff>209550</xdr:colOff>
      <xdr:row>12</xdr:row>
      <xdr:rowOff>152399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24725" y="1895474"/>
          <a:ext cx="1114425" cy="1114425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</a:rPr>
            <a:t>標本</a:t>
          </a:r>
        </a:p>
      </xdr:txBody>
    </xdr:sp>
    <xdr:clientData/>
  </xdr:twoCellAnchor>
  <xdr:twoCellAnchor>
    <xdr:from>
      <xdr:col>4</xdr:col>
      <xdr:colOff>171450</xdr:colOff>
      <xdr:row>17</xdr:row>
      <xdr:rowOff>142875</xdr:rowOff>
    </xdr:from>
    <xdr:to>
      <xdr:col>6</xdr:col>
      <xdr:colOff>476250</xdr:colOff>
      <xdr:row>20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914650" y="4191000"/>
          <a:ext cx="1676400" cy="7905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母集団の特性値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平均・分散など</a:t>
          </a:r>
        </a:p>
      </xdr:txBody>
    </xdr:sp>
    <xdr:clientData/>
  </xdr:twoCellAnchor>
  <xdr:twoCellAnchor>
    <xdr:from>
      <xdr:col>10</xdr:col>
      <xdr:colOff>180975</xdr:colOff>
      <xdr:row>17</xdr:row>
      <xdr:rowOff>142875</xdr:rowOff>
    </xdr:from>
    <xdr:to>
      <xdr:col>12</xdr:col>
      <xdr:colOff>485775</xdr:colOff>
      <xdr:row>20</xdr:row>
      <xdr:rowOff>219075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038975" y="4191000"/>
          <a:ext cx="1676400" cy="7905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標本の推定量</a:t>
          </a:r>
        </a:p>
      </xdr:txBody>
    </xdr:sp>
    <xdr:clientData/>
  </xdr:twoCellAnchor>
  <xdr:twoCellAnchor>
    <xdr:from>
      <xdr:col>6</xdr:col>
      <xdr:colOff>657225</xdr:colOff>
      <xdr:row>10</xdr:row>
      <xdr:rowOff>71437</xdr:rowOff>
    </xdr:from>
    <xdr:to>
      <xdr:col>10</xdr:col>
      <xdr:colOff>466725</xdr:colOff>
      <xdr:row>10</xdr:row>
      <xdr:rowOff>76200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2" idx="6"/>
          <a:endCxn id="4" idx="2"/>
        </xdr:cNvCxnSpPr>
      </xdr:nvCxnSpPr>
      <xdr:spPr>
        <a:xfrm flipV="1">
          <a:off x="4772025" y="2452687"/>
          <a:ext cx="2552700" cy="476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14</xdr:row>
      <xdr:rowOff>133350</xdr:rowOff>
    </xdr:from>
    <xdr:to>
      <xdr:col>5</xdr:col>
      <xdr:colOff>333375</xdr:colOff>
      <xdr:row>17</xdr:row>
      <xdr:rowOff>142875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4"/>
          <a:endCxn id="5" idx="0"/>
        </xdr:cNvCxnSpPr>
      </xdr:nvCxnSpPr>
      <xdr:spPr>
        <a:xfrm flipH="1">
          <a:off x="3752850" y="3467100"/>
          <a:ext cx="9525" cy="72390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12</xdr:row>
      <xdr:rowOff>152399</xdr:rowOff>
    </xdr:from>
    <xdr:to>
      <xdr:col>11</xdr:col>
      <xdr:colOff>338138</xdr:colOff>
      <xdr:row>17</xdr:row>
      <xdr:rowOff>142875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4" idx="4"/>
          <a:endCxn id="6" idx="0"/>
        </xdr:cNvCxnSpPr>
      </xdr:nvCxnSpPr>
      <xdr:spPr>
        <a:xfrm flipH="1">
          <a:off x="7877175" y="3009899"/>
          <a:ext cx="4763" cy="118110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19</xdr:row>
      <xdr:rowOff>61913</xdr:rowOff>
    </xdr:from>
    <xdr:to>
      <xdr:col>10</xdr:col>
      <xdr:colOff>180975</xdr:colOff>
      <xdr:row>19</xdr:row>
      <xdr:rowOff>61913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6" idx="1"/>
          <a:endCxn id="5" idx="3"/>
        </xdr:cNvCxnSpPr>
      </xdr:nvCxnSpPr>
      <xdr:spPr>
        <a:xfrm flipH="1">
          <a:off x="4591050" y="4586288"/>
          <a:ext cx="2447925" cy="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 w="lg" len="lg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304801</xdr:colOff>
      <xdr:row>7</xdr:row>
      <xdr:rowOff>152400</xdr:rowOff>
    </xdr:from>
    <xdr:to>
      <xdr:col>9</xdr:col>
      <xdr:colOff>514351</xdr:colOff>
      <xdr:row>10</xdr:row>
      <xdr:rowOff>133350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105401" y="1819275"/>
          <a:ext cx="1581150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無作為抽出</a:t>
          </a:r>
        </a:p>
      </xdr:txBody>
    </xdr:sp>
    <xdr:clientData/>
  </xdr:twoCellAnchor>
  <xdr:twoCellAnchor>
    <xdr:from>
      <xdr:col>7</xdr:col>
      <xdr:colOff>304801</xdr:colOff>
      <xdr:row>16</xdr:row>
      <xdr:rowOff>104775</xdr:rowOff>
    </xdr:from>
    <xdr:to>
      <xdr:col>9</xdr:col>
      <xdr:colOff>514351</xdr:colOff>
      <xdr:row>19</xdr:row>
      <xdr:rowOff>85725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0097B8C-2A05-44ED-8ED3-C698495B0B29}"/>
            </a:ext>
          </a:extLst>
        </xdr:cNvPr>
        <xdr:cNvSpPr txBox="1"/>
      </xdr:nvSpPr>
      <xdr:spPr>
        <a:xfrm>
          <a:off x="5105401" y="3914775"/>
          <a:ext cx="1581150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推測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92079</xdr:colOff>
      <xdr:row>57</xdr:row>
      <xdr:rowOff>225314</xdr:rowOff>
    </xdr:from>
    <xdr:ext cx="549445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1558929" y="15084314"/>
              <a:ext cx="5494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∪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543CF2E5-5A27-FBE9-3394-1B90DDCBE1EA}"/>
                </a:ext>
              </a:extLst>
            </xdr:cNvPr>
            <xdr:cNvSpPr txBox="1"/>
          </xdr:nvSpPr>
          <xdr:spPr>
            <a:xfrm>
              <a:off x="1558929" y="15084314"/>
              <a:ext cx="54944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i="0">
                  <a:latin typeface="Cambria Math" panose="02040503050406030204" pitchFamily="18" charset="0"/>
                </a:rPr>
                <a:t>𝐴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∪𝐵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</xdr:col>
      <xdr:colOff>236596</xdr:colOff>
      <xdr:row>33</xdr:row>
      <xdr:rowOff>225314</xdr:rowOff>
    </xdr:from>
    <xdr:ext cx="263214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925327" y="7647487"/>
              <a:ext cx="26321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2D94B9EF-DC8D-4FA0-BDCA-812A9D9A12DD}"/>
                </a:ext>
              </a:extLst>
            </xdr:cNvPr>
            <xdr:cNvSpPr txBox="1"/>
          </xdr:nvSpPr>
          <xdr:spPr>
            <a:xfrm>
              <a:off x="925327" y="7647487"/>
              <a:ext cx="263214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𝐴^𝑐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</xdr:col>
      <xdr:colOff>92079</xdr:colOff>
      <xdr:row>48</xdr:row>
      <xdr:rowOff>234839</xdr:rowOff>
    </xdr:from>
    <xdr:ext cx="549446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1558929" y="12331589"/>
              <a:ext cx="54944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∩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C91A27EF-BDC7-4C39-8BDC-C2D809050D50}"/>
                </a:ext>
              </a:extLst>
            </xdr:cNvPr>
            <xdr:cNvSpPr txBox="1"/>
          </xdr:nvSpPr>
          <xdr:spPr>
            <a:xfrm>
              <a:off x="1558929" y="12331589"/>
              <a:ext cx="54944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i="0">
                  <a:latin typeface="Cambria Math" panose="02040503050406030204" pitchFamily="18" charset="0"/>
                </a:rPr>
                <a:t>𝐴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∩𝐵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</xdr:col>
      <xdr:colOff>92079</xdr:colOff>
      <xdr:row>51</xdr:row>
      <xdr:rowOff>234839</xdr:rowOff>
    </xdr:from>
    <xdr:ext cx="540725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1558929" y="14046089"/>
              <a:ext cx="54072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∩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DDEA44FA-7B20-4A51-BA57-041AD5D9DE5A}"/>
                </a:ext>
              </a:extLst>
            </xdr:cNvPr>
            <xdr:cNvSpPr txBox="1"/>
          </xdr:nvSpPr>
          <xdr:spPr>
            <a:xfrm>
              <a:off x="1558929" y="14046089"/>
              <a:ext cx="540725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i="0">
                  <a:latin typeface="Cambria Math" panose="02040503050406030204" pitchFamily="18" charset="0"/>
                </a:rPr>
                <a:t>𝐴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∩𝐶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</xdr:col>
      <xdr:colOff>92079</xdr:colOff>
      <xdr:row>54</xdr:row>
      <xdr:rowOff>206264</xdr:rowOff>
    </xdr:from>
    <xdr:ext cx="548933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558929" y="14874764"/>
              <a:ext cx="54893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∩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49ABAC99-B283-4DEE-A909-F84407719153}"/>
                </a:ext>
              </a:extLst>
            </xdr:cNvPr>
            <xdr:cNvSpPr txBox="1"/>
          </xdr:nvSpPr>
          <xdr:spPr>
            <a:xfrm>
              <a:off x="1558929" y="14874764"/>
              <a:ext cx="54893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𝐵∩𝐶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</xdr:col>
      <xdr:colOff>92079</xdr:colOff>
      <xdr:row>60</xdr:row>
      <xdr:rowOff>206264</xdr:rowOff>
    </xdr:from>
    <xdr:ext cx="536622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1560050" y="16802176"/>
              <a:ext cx="53662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∪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kumimoji="1" lang="ja-JP" altLang="en-US" sz="1600" i="1"/>
            </a:p>
          </xdr:txBody>
        </xdr:sp>
      </mc:Choice>
      <mc:Fallback xmlns="">
        <xdr:sp macro="" textlink="">
          <xdr:nvSpPr>
            <xdr:cNvPr id="11" name="テキスト ボックス 10">
              <a:extLst>
                <a:ext uri="{FF2B5EF4-FFF2-40B4-BE49-F238E27FC236}">
                  <a16:creationId xmlns:a16="http://schemas.microsoft.com/office/drawing/2014/main" id="{38ACA49E-B6A4-4312-88D7-DCA18D1E9410}"/>
                </a:ext>
              </a:extLst>
            </xdr:cNvPr>
            <xdr:cNvSpPr txBox="1"/>
          </xdr:nvSpPr>
          <xdr:spPr>
            <a:xfrm>
              <a:off x="1560050" y="16802176"/>
              <a:ext cx="536622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𝐴∪𝐶</a:t>
              </a:r>
              <a:endParaRPr kumimoji="1" lang="ja-JP" altLang="en-US" sz="1600" i="1"/>
            </a:p>
          </xdr:txBody>
        </xdr:sp>
      </mc:Fallback>
    </mc:AlternateContent>
    <xdr:clientData/>
  </xdr:oneCellAnchor>
  <xdr:oneCellAnchor>
    <xdr:from>
      <xdr:col>3</xdr:col>
      <xdr:colOff>93200</xdr:colOff>
      <xdr:row>63</xdr:row>
      <xdr:rowOff>200101</xdr:rowOff>
    </xdr:from>
    <xdr:ext cx="548933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 txBox="1"/>
          </xdr:nvSpPr>
          <xdr:spPr>
            <a:xfrm>
              <a:off x="1560050" y="16773601"/>
              <a:ext cx="54893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∪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𝐶</m:t>
                    </m:r>
                  </m:oMath>
                </m:oMathPara>
              </a14:m>
              <a:endParaRPr kumimoji="1" lang="ja-JP" altLang="en-US" sz="1600" i="1"/>
            </a:p>
          </xdr:txBody>
        </xdr:sp>
      </mc:Choice>
      <mc:Fallback xmlns="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95E4BC18-3221-446B-A82C-7DE9CCB7629B}"/>
                </a:ext>
              </a:extLst>
            </xdr:cNvPr>
            <xdr:cNvSpPr txBox="1"/>
          </xdr:nvSpPr>
          <xdr:spPr>
            <a:xfrm>
              <a:off x="1560050" y="16773601"/>
              <a:ext cx="548933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𝐵∪𝐶</a:t>
              </a:r>
              <a:endParaRPr kumimoji="1" lang="ja-JP" altLang="en-US" sz="1600" i="1"/>
            </a:p>
          </xdr:txBody>
        </xdr:sp>
      </mc:Fallback>
    </mc:AlternateContent>
    <xdr:clientData/>
  </xdr:oneCellAnchor>
  <xdr:oneCellAnchor>
    <xdr:from>
      <xdr:col>26</xdr:col>
      <xdr:colOff>534520</xdr:colOff>
      <xdr:row>67</xdr:row>
      <xdr:rowOff>136712</xdr:rowOff>
    </xdr:from>
    <xdr:ext cx="93827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 txBox="1"/>
          </xdr:nvSpPr>
          <xdr:spPr>
            <a:xfrm>
              <a:off x="12334314" y="18480741"/>
              <a:ext cx="93827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m:rPr>
                                <m:sty m:val="p"/>
                              </m:rPr>
                              <a:rPr kumimoji="1" lang="en-US" altLang="ja-JP" sz="1600" b="0" i="0">
                                <a:latin typeface="Cambria Math" panose="02040503050406030204" pitchFamily="18" charset="0"/>
                              </a:rPr>
                              <m:t>Ω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1F9263C0-4272-D341-7F3C-676C5A5182C5}"/>
                </a:ext>
              </a:extLst>
            </xdr:cNvPr>
            <xdr:cNvSpPr txBox="1"/>
          </xdr:nvSpPr>
          <xdr:spPr>
            <a:xfrm>
              <a:off x="12334314" y="18480741"/>
              <a:ext cx="93827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Pr⁡(Ω)=1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22410</xdr:colOff>
      <xdr:row>67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17290675" y="18344029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481C2526-978D-4E70-ACDF-35B0889C105B}"/>
                </a:ext>
              </a:extLst>
            </xdr:cNvPr>
            <xdr:cNvSpPr txBox="1"/>
          </xdr:nvSpPr>
          <xdr:spPr>
            <a:xfrm>
              <a:off x="17290675" y="18344029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Pr⁡(𝐴)=4/9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6722</xdr:colOff>
      <xdr:row>66</xdr:row>
      <xdr:rowOff>667871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20009222" y="18339547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20009222" y="18339547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Pr⁡(𝐵)=3/9=1/3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24651</xdr:colOff>
      <xdr:row>67</xdr:row>
      <xdr:rowOff>2242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 txBox="1"/>
          </xdr:nvSpPr>
          <xdr:spPr>
            <a:xfrm>
              <a:off x="22761386" y="1834627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F457B39A-ED10-4E01-AA60-DE594694021D}"/>
                </a:ext>
              </a:extLst>
            </xdr:cNvPr>
            <xdr:cNvSpPr txBox="1"/>
          </xdr:nvSpPr>
          <xdr:spPr>
            <a:xfrm>
              <a:off x="22761386" y="1834627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Pr⁡(𝐶)=2/9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0</xdr:colOff>
      <xdr:row>72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SpPr txBox="1"/>
          </xdr:nvSpPr>
          <xdr:spPr>
            <a:xfrm>
              <a:off x="17278350" y="2099310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∩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6" name="テキスト ボックス 25">
              <a:extLst>
                <a:ext uri="{FF2B5EF4-FFF2-40B4-BE49-F238E27FC236}">
                  <a16:creationId xmlns:a16="http://schemas.microsoft.com/office/drawing/2014/main" id="{2AED7166-4E60-4DE9-AAAA-73B7FB02B1D7}"/>
                </a:ext>
              </a:extLst>
            </xdr:cNvPr>
            <xdr:cNvSpPr txBox="1"/>
          </xdr:nvSpPr>
          <xdr:spPr>
            <a:xfrm>
              <a:off x="17278350" y="2099310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Pr⁡(𝐴∩𝐵)=2/9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0</xdr:colOff>
      <xdr:row>77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テキスト ボックス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/>
          </xdr:nvSpPr>
          <xdr:spPr>
            <a:xfrm>
              <a:off x="17278350" y="210121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8" name="テキスト ボックス 27">
              <a:extLst>
                <a:ext uri="{FF2B5EF4-FFF2-40B4-BE49-F238E27FC236}">
                  <a16:creationId xmlns:a16="http://schemas.microsoft.com/office/drawing/2014/main" id="{30C48A30-EA9F-4A06-9533-08AD01C2C244}"/>
                </a:ext>
              </a:extLst>
            </xdr:cNvPr>
            <xdr:cNvSpPr txBox="1"/>
          </xdr:nvSpPr>
          <xdr:spPr>
            <a:xfrm>
              <a:off x="17278350" y="210121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Pr⁡(𝐴∪𝐵)=5/9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38100</xdr:colOff>
      <xdr:row>76</xdr:row>
      <xdr:rowOff>228600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テキスト ボックス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 txBox="1"/>
          </xdr:nvSpPr>
          <xdr:spPr>
            <a:xfrm>
              <a:off x="20059650" y="209835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9" name="テキスト ボックス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SpPr txBox="1"/>
          </xdr:nvSpPr>
          <xdr:spPr>
            <a:xfrm>
              <a:off x="20059650" y="209835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Pr⁡(𝐴∪𝐶)=6/9=2/3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17929</xdr:colOff>
      <xdr:row>72</xdr:row>
      <xdr:rowOff>6163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テキスト ボックス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/>
          </xdr:nvSpPr>
          <xdr:spPr>
            <a:xfrm>
              <a:off x="20039479" y="2101831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∩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0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0" name="テキスト ボックス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/>
          </xdr:nvSpPr>
          <xdr:spPr>
            <a:xfrm>
              <a:off x="20039479" y="2101831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Pr⁡(𝐴∩𝐶)=0/9=0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0</xdr:colOff>
      <xdr:row>72</xdr:row>
      <xdr:rowOff>6163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テキスト ボックス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22764750" y="2101831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∩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0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1" name="テキスト ボックス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22764750" y="2101831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Pr⁡(𝐵∩𝐶)=0/9=0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17929</xdr:colOff>
      <xdr:row>77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テキスト ボックス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22782679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2" name="テキスト ボックス 31">
              <a:extLst>
                <a:ext uri="{FF2B5EF4-FFF2-40B4-BE49-F238E27FC236}">
                  <a16:creationId xmlns:a16="http://schemas.microsoft.com/office/drawing/2014/main" id="{769C7B1A-D9C8-433C-897E-5A22B6A4F09D}"/>
                </a:ext>
              </a:extLst>
            </xdr:cNvPr>
            <xdr:cNvSpPr txBox="1"/>
          </xdr:nvSpPr>
          <xdr:spPr>
            <a:xfrm>
              <a:off x="22782679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kumimoji="1" lang="en-US" altLang="ja-JP" sz="1600" b="0" i="0">
                  <a:latin typeface="Cambria Math" panose="02040503050406030204" pitchFamily="18" charset="0"/>
                </a:rPr>
                <a:t>Pr⁡(𝐵∪𝐶)=5/9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26</xdr:col>
      <xdr:colOff>0</xdr:colOff>
      <xdr:row>77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6A46830-2A7A-42AF-87A3-9E082542107E}"/>
                </a:ext>
              </a:extLst>
            </xdr:cNvPr>
            <xdr:cNvSpPr txBox="1"/>
          </xdr:nvSpPr>
          <xdr:spPr>
            <a:xfrm>
              <a:off x="11799794" y="24148676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F6A46830-2A7A-42AF-87A3-9E082542107E}"/>
                </a:ext>
              </a:extLst>
            </xdr:cNvPr>
            <xdr:cNvSpPr txBox="1"/>
          </xdr:nvSpPr>
          <xdr:spPr>
            <a:xfrm>
              <a:off x="11799794" y="24148676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Pr⁡(𝐴)=4/9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29</xdr:col>
      <xdr:colOff>679076</xdr:colOff>
      <xdr:row>77</xdr:row>
      <xdr:rowOff>17928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7DC3DF1-E038-434B-9CBF-0F9AB0932386}"/>
                </a:ext>
              </a:extLst>
            </xdr:cNvPr>
            <xdr:cNvSpPr txBox="1"/>
          </xdr:nvSpPr>
          <xdr:spPr>
            <a:xfrm>
              <a:off x="14529547" y="24166604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p>
                                <m: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sup>
                            </m:sSup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37DC3DF1-E038-434B-9CBF-0F9AB0932386}"/>
                </a:ext>
              </a:extLst>
            </xdr:cNvPr>
            <xdr:cNvSpPr txBox="1"/>
          </xdr:nvSpPr>
          <xdr:spPr>
            <a:xfrm>
              <a:off x="14529547" y="24166604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Pr⁡(𝐴^𝑐 )=5/9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0</xdr:colOff>
      <xdr:row>83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84E17328-53C3-420B-9396-64A3A5425A7C}"/>
                </a:ext>
              </a:extLst>
            </xdr:cNvPr>
            <xdr:cNvSpPr txBox="1"/>
          </xdr:nvSpPr>
          <xdr:spPr>
            <a:xfrm>
              <a:off x="17278350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0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84E17328-53C3-420B-9396-64A3A5425A7C}"/>
                </a:ext>
              </a:extLst>
            </xdr:cNvPr>
            <xdr:cNvSpPr txBox="1"/>
          </xdr:nvSpPr>
          <xdr:spPr>
            <a:xfrm>
              <a:off x="17278350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Pr⁡(𝐶|𝐴)=0/9=0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38100</xdr:colOff>
      <xdr:row>82</xdr:row>
      <xdr:rowOff>228600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10B88AC1-CBAD-4543-9256-9AD3576A4946}"/>
                </a:ext>
              </a:extLst>
            </xdr:cNvPr>
            <xdr:cNvSpPr txBox="1"/>
          </xdr:nvSpPr>
          <xdr:spPr>
            <a:xfrm>
              <a:off x="20059650" y="238982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10B88AC1-CBAD-4543-9256-9AD3576A4946}"/>
                </a:ext>
              </a:extLst>
            </xdr:cNvPr>
            <xdr:cNvSpPr txBox="1"/>
          </xdr:nvSpPr>
          <xdr:spPr>
            <a:xfrm>
              <a:off x="20059650" y="238982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Pr⁡(𝐴∪𝐶)=6/9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17929</xdr:colOff>
      <xdr:row>83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4962CBE3-61FA-4CBA-92A4-494FBC41D7D8}"/>
                </a:ext>
              </a:extLst>
            </xdr:cNvPr>
            <xdr:cNvSpPr txBox="1"/>
          </xdr:nvSpPr>
          <xdr:spPr>
            <a:xfrm>
              <a:off x="22782679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4962CBE3-61FA-4CBA-92A4-494FBC41D7D8}"/>
                </a:ext>
              </a:extLst>
            </xdr:cNvPr>
            <xdr:cNvSpPr txBox="1"/>
          </xdr:nvSpPr>
          <xdr:spPr>
            <a:xfrm>
              <a:off x="22782679" y="239077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Pr⁡(𝐵∪𝐶)=5/9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29</xdr:col>
      <xdr:colOff>679076</xdr:colOff>
      <xdr:row>83</xdr:row>
      <xdr:rowOff>17928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6134AD8A-AAC5-4FC3-B024-7F8A29500E9D}"/>
                </a:ext>
              </a:extLst>
            </xdr:cNvPr>
            <xdr:cNvSpPr txBox="1"/>
          </xdr:nvSpPr>
          <xdr:spPr>
            <a:xfrm>
              <a:off x="14528426" y="23925678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6134AD8A-AAC5-4FC3-B024-7F8A29500E9D}"/>
                </a:ext>
              </a:extLst>
            </xdr:cNvPr>
            <xdr:cNvSpPr txBox="1"/>
          </xdr:nvSpPr>
          <xdr:spPr>
            <a:xfrm>
              <a:off x="14528426" y="23925678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Pr⁡(𝐵|𝐴)=2/4=1/2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0</xdr:colOff>
      <xdr:row>88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DF940FE9-D4BB-47BD-9027-D06CD01CEC71}"/>
                </a:ext>
              </a:extLst>
            </xdr:cNvPr>
            <xdr:cNvSpPr txBox="1"/>
          </xdr:nvSpPr>
          <xdr:spPr>
            <a:xfrm>
              <a:off x="17278350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0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DF940FE9-D4BB-47BD-9027-D06CD01CEC71}"/>
                </a:ext>
              </a:extLst>
            </xdr:cNvPr>
            <xdr:cNvSpPr txBox="1"/>
          </xdr:nvSpPr>
          <xdr:spPr>
            <a:xfrm>
              <a:off x="17278350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Pr⁡(𝐶|𝐵)=0/9=0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38100</xdr:colOff>
      <xdr:row>87</xdr:row>
      <xdr:rowOff>228600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C8A1A6AD-7D88-434F-BC63-6EB9372E35B3}"/>
                </a:ext>
              </a:extLst>
            </xdr:cNvPr>
            <xdr:cNvSpPr txBox="1"/>
          </xdr:nvSpPr>
          <xdr:spPr>
            <a:xfrm>
              <a:off x="20059650" y="270319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C8A1A6AD-7D88-434F-BC63-6EB9372E35B3}"/>
                </a:ext>
              </a:extLst>
            </xdr:cNvPr>
            <xdr:cNvSpPr txBox="1"/>
          </xdr:nvSpPr>
          <xdr:spPr>
            <a:xfrm>
              <a:off x="20059650" y="27031950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Pr⁡(𝐴∪𝐶)=6/9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17929</xdr:colOff>
      <xdr:row>88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0B8851DA-3285-4C12-A1D2-DC41A54E18C3}"/>
                </a:ext>
              </a:extLst>
            </xdr:cNvPr>
            <xdr:cNvSpPr txBox="1"/>
          </xdr:nvSpPr>
          <xdr:spPr>
            <a:xfrm>
              <a:off x="22782679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∪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0B8851DA-3285-4C12-A1D2-DC41A54E18C3}"/>
                </a:ext>
              </a:extLst>
            </xdr:cNvPr>
            <xdr:cNvSpPr txBox="1"/>
          </xdr:nvSpPr>
          <xdr:spPr>
            <a:xfrm>
              <a:off x="22782679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Pr⁡(𝐵∪𝐶)=5/9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29</xdr:col>
      <xdr:colOff>679076</xdr:colOff>
      <xdr:row>88</xdr:row>
      <xdr:rowOff>17928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テキスト ボックス 24">
              <a:extLst>
                <a:ext uri="{FF2B5EF4-FFF2-40B4-BE49-F238E27FC236}">
                  <a16:creationId xmlns:a16="http://schemas.microsoft.com/office/drawing/2014/main" id="{F01CA5ED-0199-43D6-8552-E3B613C997FF}"/>
                </a:ext>
              </a:extLst>
            </xdr:cNvPr>
            <xdr:cNvSpPr txBox="1"/>
          </xdr:nvSpPr>
          <xdr:spPr>
            <a:xfrm>
              <a:off x="14528426" y="2705940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5" name="テキスト ボックス 24">
              <a:extLst>
                <a:ext uri="{FF2B5EF4-FFF2-40B4-BE49-F238E27FC236}">
                  <a16:creationId xmlns:a16="http://schemas.microsoft.com/office/drawing/2014/main" id="{F01CA5ED-0199-43D6-8552-E3B613C997FF}"/>
                </a:ext>
              </a:extLst>
            </xdr:cNvPr>
            <xdr:cNvSpPr txBox="1"/>
          </xdr:nvSpPr>
          <xdr:spPr>
            <a:xfrm>
              <a:off x="14528426" y="27059403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Pr⁡(𝐴|𝐵)=2/3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26</xdr:col>
      <xdr:colOff>0</xdr:colOff>
      <xdr:row>83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A1CAFAAD-B816-40F2-8701-D13EAAF8BCF6}"/>
                </a:ext>
              </a:extLst>
            </xdr:cNvPr>
            <xdr:cNvSpPr txBox="1"/>
          </xdr:nvSpPr>
          <xdr:spPr>
            <a:xfrm>
              <a:off x="11791950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kumimoji="1" lang="en-US" altLang="ja-JP" sz="1600" b="0" i="0">
                                <a:latin typeface="Cambria Math" panose="02040503050406030204" pitchFamily="18" charset="0"/>
                              </a:rPr>
                              <m:t>Ω</m:t>
                            </m:r>
                          </m:e>
                          <m:sub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=</m:t>
                        </m:r>
                      </m:fName>
                      <m:e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={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27" name="テキスト ボックス 26">
              <a:extLst>
                <a:ext uri="{FF2B5EF4-FFF2-40B4-BE49-F238E27FC236}">
                  <a16:creationId xmlns:a16="http://schemas.microsoft.com/office/drawing/2014/main" id="{A1CAFAAD-B816-40F2-8701-D13EAAF8BCF6}"/>
                </a:ext>
              </a:extLst>
            </xdr:cNvPr>
            <xdr:cNvSpPr txBox="1"/>
          </xdr:nvSpPr>
          <xdr:spPr>
            <a:xfrm>
              <a:off x="11791950" y="270414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kumimoji="1" lang="en-US" altLang="ja-JP" sz="1600" b="0" i="0">
                  <a:latin typeface="Cambria Math" panose="02040503050406030204" pitchFamily="18" charset="0"/>
                </a:rPr>
                <a:t>〖Ω_𝐴=〗⁡𝐴={𝑜, 𝑝, 𝑟, 𝑠}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26</xdr:col>
      <xdr:colOff>0</xdr:colOff>
      <xdr:row>88</xdr:row>
      <xdr:rowOff>0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テキスト ボックス 32">
              <a:extLst>
                <a:ext uri="{FF2B5EF4-FFF2-40B4-BE49-F238E27FC236}">
                  <a16:creationId xmlns:a16="http://schemas.microsoft.com/office/drawing/2014/main" id="{FDC64C72-0A96-4F62-8D6C-4131B2A2D3EB}"/>
                </a:ext>
              </a:extLst>
            </xdr:cNvPr>
            <xdr:cNvSpPr txBox="1"/>
          </xdr:nvSpPr>
          <xdr:spPr>
            <a:xfrm>
              <a:off x="11791950" y="299370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sSub>
                          <m:sSub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kumimoji="1" lang="en-US" altLang="ja-JP" sz="1600" b="0" i="0">
                                <a:latin typeface="Cambria Math" panose="02040503050406030204" pitchFamily="18" charset="0"/>
                              </a:rPr>
                              <m:t>Ω</m:t>
                            </m:r>
                          </m:e>
                          <m:sub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=</m:t>
                        </m:r>
                      </m:fName>
                      <m:e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={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𝑝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𝑞</m:t>
                    </m:r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3" name="テキスト ボックス 32">
              <a:extLst>
                <a:ext uri="{FF2B5EF4-FFF2-40B4-BE49-F238E27FC236}">
                  <a16:creationId xmlns:a16="http://schemas.microsoft.com/office/drawing/2014/main" id="{FDC64C72-0A96-4F62-8D6C-4131B2A2D3EB}"/>
                </a:ext>
              </a:extLst>
            </xdr:cNvPr>
            <xdr:cNvSpPr txBox="1"/>
          </xdr:nvSpPr>
          <xdr:spPr>
            <a:xfrm>
              <a:off x="11791950" y="2993707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kumimoji="1" lang="en-US" altLang="ja-JP" sz="1600" b="0" i="0">
                  <a:latin typeface="Cambria Math" panose="02040503050406030204" pitchFamily="18" charset="0"/>
                </a:rPr>
                <a:t>〖Ω_𝐵=〗⁡𝐵={𝑜, 𝑝, 𝑞}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26</xdr:col>
      <xdr:colOff>9526</xdr:colOff>
      <xdr:row>99</xdr:row>
      <xdr:rowOff>12887</xdr:rowOff>
    </xdr:from>
    <xdr:ext cx="2028824" cy="577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テキスト ボックス 33">
              <a:extLst>
                <a:ext uri="{FF2B5EF4-FFF2-40B4-BE49-F238E27FC236}">
                  <a16:creationId xmlns:a16="http://schemas.microsoft.com/office/drawing/2014/main" id="{14792F3C-AD7D-4AA8-B75B-B7CA2C2AF948}"/>
                </a:ext>
              </a:extLst>
            </xdr:cNvPr>
            <xdr:cNvSpPr txBox="1"/>
          </xdr:nvSpPr>
          <xdr:spPr>
            <a:xfrm>
              <a:off x="11801476" y="3308368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4" name="テキスト ボックス 33">
              <a:extLst>
                <a:ext uri="{FF2B5EF4-FFF2-40B4-BE49-F238E27FC236}">
                  <a16:creationId xmlns:a16="http://schemas.microsoft.com/office/drawing/2014/main" id="{14792F3C-AD7D-4AA8-B75B-B7CA2C2AF948}"/>
                </a:ext>
              </a:extLst>
            </xdr:cNvPr>
            <xdr:cNvSpPr txBox="1"/>
          </xdr:nvSpPr>
          <xdr:spPr>
            <a:xfrm>
              <a:off x="11801476" y="3308368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Pr⁡(𝐵)=3/9=1/3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40</xdr:col>
      <xdr:colOff>184335</xdr:colOff>
      <xdr:row>92</xdr:row>
      <xdr:rowOff>180975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A2DA3B5F-CD37-4613-A0D8-6B225F3F1F36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A2DA3B5F-CD37-4613-A0D8-6B225F3F1F36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Pr⁡(𝐴)=4/9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6722</xdr:colOff>
      <xdr:row>93</xdr:row>
      <xdr:rowOff>667871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D73CBD66-7389-4A01-897F-7B48F10FEA5F}"/>
                </a:ext>
              </a:extLst>
            </xdr:cNvPr>
            <xdr:cNvSpPr txBox="1"/>
          </xdr:nvSpPr>
          <xdr:spPr>
            <a:xfrm>
              <a:off x="20028272" y="1809862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D73CBD66-7389-4A01-897F-7B48F10FEA5F}"/>
                </a:ext>
              </a:extLst>
            </xdr:cNvPr>
            <xdr:cNvSpPr txBox="1"/>
          </xdr:nvSpPr>
          <xdr:spPr>
            <a:xfrm>
              <a:off x="20028272" y="1809862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Pr⁡(𝐵)=3/9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24651</xdr:colOff>
      <xdr:row>99</xdr:row>
      <xdr:rowOff>2242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81359E7E-BDAB-4F6A-90F5-B48E036D69E1}"/>
                </a:ext>
              </a:extLst>
            </xdr:cNvPr>
            <xdr:cNvSpPr txBox="1"/>
          </xdr:nvSpPr>
          <xdr:spPr>
            <a:xfrm>
              <a:off x="22789401" y="18099742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81359E7E-BDAB-4F6A-90F5-B48E036D69E1}"/>
                </a:ext>
              </a:extLst>
            </xdr:cNvPr>
            <xdr:cNvSpPr txBox="1"/>
          </xdr:nvSpPr>
          <xdr:spPr>
            <a:xfrm>
              <a:off x="22789401" y="18099742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Pr⁡(𝐶)=2/9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30</xdr:col>
      <xdr:colOff>28576</xdr:colOff>
      <xdr:row>99</xdr:row>
      <xdr:rowOff>31937</xdr:rowOff>
    </xdr:from>
    <xdr:ext cx="2028824" cy="577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5A959625-B9B1-4A0E-9A54-87A8A039C085}"/>
                </a:ext>
              </a:extLst>
            </xdr:cNvPr>
            <xdr:cNvSpPr txBox="1"/>
          </xdr:nvSpPr>
          <xdr:spPr>
            <a:xfrm>
              <a:off x="14563726" y="3310273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5A959625-B9B1-4A0E-9A54-87A8A039C085}"/>
                </a:ext>
              </a:extLst>
            </xdr:cNvPr>
            <xdr:cNvSpPr txBox="1"/>
          </xdr:nvSpPr>
          <xdr:spPr>
            <a:xfrm>
              <a:off x="14563726" y="3310273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Pr⁡(𝐵|𝐷)=2/6=1/3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26</xdr:col>
      <xdr:colOff>9526</xdr:colOff>
      <xdr:row>94</xdr:row>
      <xdr:rowOff>12887</xdr:rowOff>
    </xdr:from>
    <xdr:ext cx="2028824" cy="577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3EB167F7-1958-449C-8B70-A67590262BA2}"/>
                </a:ext>
              </a:extLst>
            </xdr:cNvPr>
            <xdr:cNvSpPr txBox="1"/>
          </xdr:nvSpPr>
          <xdr:spPr>
            <a:xfrm>
              <a:off x="11801476" y="3308368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3EB167F7-1958-449C-8B70-A67590262BA2}"/>
                </a:ext>
              </a:extLst>
            </xdr:cNvPr>
            <xdr:cNvSpPr txBox="1"/>
          </xdr:nvSpPr>
          <xdr:spPr>
            <a:xfrm>
              <a:off x="11801476" y="3308368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Pr⁡(𝐷)=6/9=2/3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40</xdr:col>
      <xdr:colOff>184335</xdr:colOff>
      <xdr:row>102</xdr:row>
      <xdr:rowOff>180975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9BC24837-BC31-485E-82EE-2328C8D8616B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9BC24837-BC31-485E-82EE-2328C8D8616B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Pr⁡(𝐴)=4/9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38</xdr:col>
      <xdr:colOff>6722</xdr:colOff>
      <xdr:row>93</xdr:row>
      <xdr:rowOff>667871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7A6F9C22-5126-4C94-8D47-97273844F1DD}"/>
                </a:ext>
              </a:extLst>
            </xdr:cNvPr>
            <xdr:cNvSpPr txBox="1"/>
          </xdr:nvSpPr>
          <xdr:spPr>
            <a:xfrm>
              <a:off x="20028272" y="3307192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7A6F9C22-5126-4C94-8D47-97273844F1DD}"/>
                </a:ext>
              </a:extLst>
            </xdr:cNvPr>
            <xdr:cNvSpPr txBox="1"/>
          </xdr:nvSpPr>
          <xdr:spPr>
            <a:xfrm>
              <a:off x="20028272" y="33071921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Pr⁡(𝐵)=3/9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42</xdr:col>
      <xdr:colOff>24651</xdr:colOff>
      <xdr:row>94</xdr:row>
      <xdr:rowOff>2242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5A32C28C-C55D-499D-8FCF-ECFD9F0A3278}"/>
                </a:ext>
              </a:extLst>
            </xdr:cNvPr>
            <xdr:cNvSpPr txBox="1"/>
          </xdr:nvSpPr>
          <xdr:spPr>
            <a:xfrm>
              <a:off x="22789401" y="33073042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5A32C28C-C55D-499D-8FCF-ECFD9F0A3278}"/>
                </a:ext>
              </a:extLst>
            </xdr:cNvPr>
            <xdr:cNvSpPr txBox="1"/>
          </xdr:nvSpPr>
          <xdr:spPr>
            <a:xfrm>
              <a:off x="22789401" y="33073042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Pr⁡(𝐶)=2/9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30</xdr:col>
      <xdr:colOff>28576</xdr:colOff>
      <xdr:row>94</xdr:row>
      <xdr:rowOff>31937</xdr:rowOff>
    </xdr:from>
    <xdr:ext cx="2028824" cy="577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814029BA-BAAA-430C-B556-5EF07A0EA2E4}"/>
                </a:ext>
              </a:extLst>
            </xdr:cNvPr>
            <xdr:cNvSpPr txBox="1"/>
          </xdr:nvSpPr>
          <xdr:spPr>
            <a:xfrm>
              <a:off x="14563726" y="3310273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814029BA-BAAA-430C-B556-5EF07A0EA2E4}"/>
                </a:ext>
              </a:extLst>
            </xdr:cNvPr>
            <xdr:cNvSpPr txBox="1"/>
          </xdr:nvSpPr>
          <xdr:spPr>
            <a:xfrm>
              <a:off x="14563726" y="33102737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Pr⁡(𝐷|𝐵)=2/3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34</xdr:col>
      <xdr:colOff>19051</xdr:colOff>
      <xdr:row>94</xdr:row>
      <xdr:rowOff>22412</xdr:rowOff>
    </xdr:from>
    <xdr:ext cx="2028824" cy="5776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1B6CCE54-B0A4-405D-8F08-E7D4F22AAD93}"/>
                </a:ext>
              </a:extLst>
            </xdr:cNvPr>
            <xdr:cNvSpPr txBox="1"/>
          </xdr:nvSpPr>
          <xdr:spPr>
            <a:xfrm>
              <a:off x="17297401" y="33093212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∩</m:t>
                            </m:r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50" name="テキスト ボックス 49">
              <a:extLst>
                <a:ext uri="{FF2B5EF4-FFF2-40B4-BE49-F238E27FC236}">
                  <a16:creationId xmlns:a16="http://schemas.microsoft.com/office/drawing/2014/main" id="{1B6CCE54-B0A4-405D-8F08-E7D4F22AAD93}"/>
                </a:ext>
              </a:extLst>
            </xdr:cNvPr>
            <xdr:cNvSpPr txBox="1"/>
          </xdr:nvSpPr>
          <xdr:spPr>
            <a:xfrm>
              <a:off x="17297401" y="33093212"/>
              <a:ext cx="2028824" cy="577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Pr⁡(𝐵∩𝐷)=2/9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40</xdr:col>
      <xdr:colOff>184335</xdr:colOff>
      <xdr:row>97</xdr:row>
      <xdr:rowOff>180975</xdr:rowOff>
    </xdr:from>
    <xdr:ext cx="2039471" cy="5939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テキスト ボックス 51">
              <a:extLst>
                <a:ext uri="{FF2B5EF4-FFF2-40B4-BE49-F238E27FC236}">
                  <a16:creationId xmlns:a16="http://schemas.microsoft.com/office/drawing/2014/main" id="{F6E40BA1-A83D-4FEB-8A2B-1CD4DBF86537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6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  <m:t>9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52" name="テキスト ボックス 51">
              <a:extLst>
                <a:ext uri="{FF2B5EF4-FFF2-40B4-BE49-F238E27FC236}">
                  <a16:creationId xmlns:a16="http://schemas.microsoft.com/office/drawing/2014/main" id="{F6E40BA1-A83D-4FEB-8A2B-1CD4DBF86537}"/>
                </a:ext>
              </a:extLst>
            </xdr:cNvPr>
            <xdr:cNvSpPr txBox="1"/>
          </xdr:nvSpPr>
          <xdr:spPr>
            <a:xfrm>
              <a:off x="21577485" y="32775525"/>
              <a:ext cx="2039471" cy="5939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kumimoji="1" lang="en-US" altLang="ja-JP" sz="1600" b="0" i="0">
                  <a:latin typeface="Cambria Math" panose="02040503050406030204" pitchFamily="18" charset="0"/>
                </a:rPr>
                <a:t>Pr⁡(𝐴)=4/9</a:t>
              </a:r>
              <a:endParaRPr kumimoji="1" lang="ja-JP" altLang="en-US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102178</xdr:colOff>
      <xdr:row>6</xdr:row>
      <xdr:rowOff>71230</xdr:rowOff>
    </xdr:from>
    <xdr:to>
      <xdr:col>15</xdr:col>
      <xdr:colOff>659424</xdr:colOff>
      <xdr:row>18</xdr:row>
      <xdr:rowOff>87923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372F898-2D58-5CB7-7E9A-7A0B38B16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0.36357</cdr:x>
      <cdr:y>0.88352</cdr:y>
    </cdr:from>
    <cdr:to>
      <cdr:x>0.63408</cdr:x>
      <cdr:y>0.96736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437A1CD-3712-215C-A65B-B40B25EABBF1}"/>
            </a:ext>
          </a:extLst>
        </cdr:cNvPr>
        <cdr:cNvSpPr txBox="1"/>
      </cdr:nvSpPr>
      <cdr:spPr>
        <a:xfrm xmlns:a="http://schemas.openxmlformats.org/drawingml/2006/main">
          <a:off x="2205804" y="2578234"/>
          <a:ext cx="1641230" cy="2446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ja-JP" altLang="en-US" sz="1100"/>
            <a:t>母集団の特性値</a:t>
          </a:r>
        </a:p>
      </cdr:txBody>
    </cdr:sp>
  </cdr:relSizeAnchor>
  <cdr:relSizeAnchor xmlns:cdr="http://schemas.openxmlformats.org/drawingml/2006/chartDrawing">
    <cdr:from>
      <cdr:x>0.48675</cdr:x>
      <cdr:y>0.83931</cdr:y>
    </cdr:from>
    <cdr:to>
      <cdr:x>0.50916</cdr:x>
      <cdr:y>0.87948</cdr:y>
    </cdr:to>
    <cdr:sp macro="" textlink="">
      <cdr:nvSpPr>
        <cdr:cNvPr id="3" name="二等辺三角形 2">
          <a:extLst xmlns:a="http://schemas.openxmlformats.org/drawingml/2006/main">
            <a:ext uri="{FF2B5EF4-FFF2-40B4-BE49-F238E27FC236}">
              <a16:creationId xmlns:a16="http://schemas.microsoft.com/office/drawing/2014/main" id="{D1DB1491-0783-84E2-FBEB-88115821DA50}"/>
            </a:ext>
          </a:extLst>
        </cdr:cNvPr>
        <cdr:cNvSpPr/>
      </cdr:nvSpPr>
      <cdr:spPr>
        <a:xfrm xmlns:a="http://schemas.openxmlformats.org/drawingml/2006/main">
          <a:off x="2953149" y="2449232"/>
          <a:ext cx="135988" cy="117231"/>
        </a:xfrm>
        <a:prstGeom xmlns:a="http://schemas.openxmlformats.org/drawingml/2006/main" prst="triangle">
          <a:avLst/>
        </a:prstGeom>
      </cdr:spPr>
      <cdr:style>
        <a:lnRef xmlns:a="http://schemas.openxmlformats.org/drawingml/2006/main" idx="2">
          <a:schemeClr val="dk1">
            <a:shade val="50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ja-JP"/>
        </a:p>
      </cdr:txBody>
    </cdr:sp>
  </cdr:relSizeAnchor>
  <cdr:relSizeAnchor xmlns:cdr="http://schemas.openxmlformats.org/drawingml/2006/chartDrawing">
    <cdr:from>
      <cdr:x>0.61959</cdr:x>
      <cdr:y>0.14884</cdr:y>
    </cdr:from>
    <cdr:to>
      <cdr:x>0.93826</cdr:x>
      <cdr:y>0.32459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58B850BA-23A3-DD13-E708-68CCAA84FF97}"/>
            </a:ext>
          </a:extLst>
        </cdr:cNvPr>
        <cdr:cNvSpPr txBox="1"/>
      </cdr:nvSpPr>
      <cdr:spPr>
        <a:xfrm xmlns:a="http://schemas.openxmlformats.org/drawingml/2006/main">
          <a:off x="3759110" y="434328"/>
          <a:ext cx="1933420" cy="51288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ja-JP" altLang="en-US" sz="1000"/>
            <a:t>　　標本数</a:t>
          </a:r>
          <a:r>
            <a:rPr lang="en-US" altLang="ja-JP" sz="1000"/>
            <a:t>20</a:t>
          </a:r>
          <a:r>
            <a:rPr lang="ja-JP" altLang="en-US" sz="1000"/>
            <a:t>の推定量の分布</a:t>
          </a:r>
          <a:endParaRPr lang="en-US" altLang="ja-JP" sz="1000"/>
        </a:p>
        <a:p xmlns:a="http://schemas.openxmlformats.org/drawingml/2006/main">
          <a:pPr algn="l"/>
          <a:r>
            <a:rPr lang="ja-JP" altLang="en-US" sz="1000">
              <a:effectLst/>
              <a:latin typeface="+mn-lt"/>
              <a:ea typeface="+mn-ea"/>
              <a:cs typeface="+mn-cs"/>
            </a:rPr>
            <a:t>　　</a:t>
          </a:r>
          <a:r>
            <a:rPr lang="ja-JP" altLang="ja-JP" sz="1000">
              <a:effectLst/>
              <a:latin typeface="+mn-lt"/>
              <a:ea typeface="+mn-ea"/>
              <a:cs typeface="+mn-cs"/>
            </a:rPr>
            <a:t>標本数</a:t>
          </a:r>
          <a:r>
            <a:rPr lang="en-US" altLang="ja-JP" sz="1000">
              <a:effectLst/>
              <a:latin typeface="+mn-lt"/>
              <a:ea typeface="+mn-ea"/>
              <a:cs typeface="+mn-cs"/>
            </a:rPr>
            <a:t>200</a:t>
          </a:r>
          <a:r>
            <a:rPr lang="ja-JP" altLang="en-US" sz="1000">
              <a:effectLst/>
              <a:latin typeface="+mn-lt"/>
              <a:ea typeface="+mn-ea"/>
              <a:cs typeface="+mn-cs"/>
            </a:rPr>
            <a:t>の推定量の分布</a:t>
          </a:r>
          <a:endParaRPr lang="en-US" altLang="ja-JP" sz="1000"/>
        </a:p>
      </cdr:txBody>
    </cdr:sp>
  </cdr:relSizeAnchor>
  <cdr:relSizeAnchor xmlns:cdr="http://schemas.openxmlformats.org/drawingml/2006/chartDrawing">
    <cdr:from>
      <cdr:x>0.63167</cdr:x>
      <cdr:y>0.20156</cdr:y>
    </cdr:from>
    <cdr:to>
      <cdr:x>0.6679</cdr:x>
      <cdr:y>0.20156</cdr:y>
    </cdr:to>
    <cdr:cxnSp macro="">
      <cdr:nvCxnSpPr>
        <cdr:cNvPr id="9" name="直線コネクタ 8">
          <a:extLst xmlns:a="http://schemas.openxmlformats.org/drawingml/2006/main">
            <a:ext uri="{FF2B5EF4-FFF2-40B4-BE49-F238E27FC236}">
              <a16:creationId xmlns:a16="http://schemas.microsoft.com/office/drawing/2014/main" id="{0D3C2CE1-1D68-99D5-EF30-0F59BDA39641}"/>
            </a:ext>
          </a:extLst>
        </cdr:cNvPr>
        <cdr:cNvCxnSpPr/>
      </cdr:nvCxnSpPr>
      <cdr:spPr>
        <a:xfrm xmlns:a="http://schemas.openxmlformats.org/drawingml/2006/main">
          <a:off x="3832381" y="588193"/>
          <a:ext cx="219806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0.63159</cdr:x>
      <cdr:y>0.27421</cdr:y>
    </cdr:from>
    <cdr:to>
      <cdr:x>0.66782</cdr:x>
      <cdr:y>0.27421</cdr:y>
    </cdr:to>
    <cdr:cxnSp macro="">
      <cdr:nvCxnSpPr>
        <cdr:cNvPr id="11" name="直線コネクタ 10">
          <a:extLst xmlns:a="http://schemas.openxmlformats.org/drawingml/2006/main">
            <a:ext uri="{FF2B5EF4-FFF2-40B4-BE49-F238E27FC236}">
              <a16:creationId xmlns:a16="http://schemas.microsoft.com/office/drawing/2014/main" id="{7D27EAC8-6A8C-FC22-3848-E23C8B7BF3F5}"/>
            </a:ext>
          </a:extLst>
        </cdr:cNvPr>
        <cdr:cNvCxnSpPr/>
      </cdr:nvCxnSpPr>
      <cdr:spPr>
        <a:xfrm xmlns:a="http://schemas.openxmlformats.org/drawingml/2006/main">
          <a:off x="3831892" y="800185"/>
          <a:ext cx="219806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8</xdr:row>
      <xdr:rowOff>200025</xdr:rowOff>
    </xdr:from>
    <xdr:to>
      <xdr:col>19</xdr:col>
      <xdr:colOff>285750</xdr:colOff>
      <xdr:row>20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30B4541-31D5-4D52-8608-A4CECB11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7</xdr:col>
      <xdr:colOff>0</xdr:colOff>
      <xdr:row>11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57400" y="485775"/>
          <a:ext cx="2743200" cy="2133600"/>
        </a:xfrm>
        <a:prstGeom prst="roundRect">
          <a:avLst>
            <a:gd name="adj" fmla="val 17113"/>
          </a:avLst>
        </a:prstGeom>
        <a:pattFill prst="pct10">
          <a:fgClr>
            <a:schemeClr val="tx1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577454</xdr:colOff>
      <xdr:row>1</xdr:row>
      <xdr:rowOff>95250</xdr:rowOff>
    </xdr:from>
    <xdr:ext cx="244078" cy="266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 txBox="1"/>
          </xdr:nvSpPr>
          <xdr:spPr>
            <a:xfrm>
              <a:off x="3315892" y="333375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2000" b="0" i="0">
                        <a:latin typeface="Cambria Math" panose="02040503050406030204" pitchFamily="18" charset="0"/>
                      </a:rPr>
                      <m:t>Ω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08C3EC82-DB37-FE46-A611-554CC2552693}"/>
                </a:ext>
              </a:extLst>
            </xdr:cNvPr>
            <xdr:cNvSpPr txBox="1"/>
          </xdr:nvSpPr>
          <xdr:spPr>
            <a:xfrm>
              <a:off x="3315892" y="333375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2000" b="0" i="0">
                  <a:latin typeface="Cambria Math" panose="02040503050406030204" pitchFamily="18" charset="0"/>
                </a:rPr>
                <a:t>Ω</a:t>
              </a:r>
              <a:endParaRPr kumimoji="1" lang="ja-JP" altLang="en-US" sz="2000"/>
            </a:p>
          </xdr:txBody>
        </xdr:sp>
      </mc:Fallback>
    </mc:AlternateContent>
    <xdr:clientData/>
  </xdr:oneCellAnchor>
  <xdr:twoCellAnchor>
    <xdr:from>
      <xdr:col>3</xdr:col>
      <xdr:colOff>196452</xdr:colOff>
      <xdr:row>3</xdr:row>
      <xdr:rowOff>190498</xdr:rowOff>
    </xdr:from>
    <xdr:to>
      <xdr:col>5</xdr:col>
      <xdr:colOff>184546</xdr:colOff>
      <xdr:row>9</xdr:row>
      <xdr:rowOff>119061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50280" y="904873"/>
          <a:ext cx="1357313" cy="1357313"/>
        </a:xfrm>
        <a:prstGeom prst="ellipse">
          <a:avLst/>
        </a:prstGeom>
        <a:pattFill prst="pct10">
          <a:fgClr>
            <a:schemeClr val="tx1"/>
          </a:fgClr>
          <a:bgClr>
            <a:schemeClr val="bg1"/>
          </a:bgClr>
        </a:patt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92868</xdr:colOff>
      <xdr:row>3</xdr:row>
      <xdr:rowOff>29765</xdr:rowOff>
    </xdr:from>
    <xdr:ext cx="210741" cy="246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2831306" y="744140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5EBDB035-589A-4FFB-8853-2616077A136B}"/>
                </a:ext>
              </a:extLst>
            </xdr:cNvPr>
            <xdr:cNvSpPr txBox="1"/>
          </xdr:nvSpPr>
          <xdr:spPr>
            <a:xfrm>
              <a:off x="2831306" y="744140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2000" b="0" i="0">
                  <a:latin typeface="Cambria Math" panose="02040503050406030204" pitchFamily="18" charset="0"/>
                </a:rPr>
                <a:t>𝐴</a:t>
              </a:r>
              <a:endParaRPr kumimoji="1" lang="ja-JP" altLang="en-US" sz="2000" i="1"/>
            </a:p>
          </xdr:txBody>
        </xdr:sp>
      </mc:Fallback>
    </mc:AlternateContent>
    <xdr:clientData/>
  </xdr:oneCellAnchor>
  <xdr:twoCellAnchor>
    <xdr:from>
      <xdr:col>4</xdr:col>
      <xdr:colOff>467914</xdr:colOff>
      <xdr:row>3</xdr:row>
      <xdr:rowOff>176211</xdr:rowOff>
    </xdr:from>
    <xdr:to>
      <xdr:col>6</xdr:col>
      <xdr:colOff>456009</xdr:colOff>
      <xdr:row>9</xdr:row>
      <xdr:rowOff>104774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206352" y="890586"/>
          <a:ext cx="1357313" cy="1357313"/>
        </a:xfrm>
        <a:prstGeom prst="ellipse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498873</xdr:colOff>
      <xdr:row>4</xdr:row>
      <xdr:rowOff>203753</xdr:rowOff>
    </xdr:from>
    <xdr:to>
      <xdr:col>5</xdr:col>
      <xdr:colOff>145256</xdr:colOff>
      <xdr:row>8</xdr:row>
      <xdr:rowOff>81545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242073" y="1156253"/>
          <a:ext cx="332183" cy="830292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143280</xdr:colOff>
      <xdr:row>5</xdr:row>
      <xdr:rowOff>226830</xdr:rowOff>
    </xdr:from>
    <xdr:to>
      <xdr:col>5</xdr:col>
      <xdr:colOff>162000</xdr:colOff>
      <xdr:row>6</xdr:row>
      <xdr:rowOff>145665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インク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14:cNvPr>
            <xdr14:cNvContentPartPr/>
          </xdr14:nvContentPartPr>
          <xdr14:nvPr macro=""/>
          <xdr14:xfrm>
            <a:off x="3572280" y="1417455"/>
            <a:ext cx="18720" cy="156960"/>
          </xdr14:xfrm>
        </xdr:contentPart>
      </mc:Choice>
      <mc:Fallback xmlns="">
        <xdr:pic>
          <xdr:nvPicPr>
            <xdr:cNvPr id="9" name="インク 8">
              <a:extLst>
                <a:ext uri="{FF2B5EF4-FFF2-40B4-BE49-F238E27FC236}">
                  <a16:creationId xmlns:a16="http://schemas.microsoft.com/office/drawing/2014/main" id="{9D5C2E56-7416-CA3F-D466-A7258E028D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63280" y="1408455"/>
              <a:ext cx="3636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118080</xdr:colOff>
      <xdr:row>5</xdr:row>
      <xdr:rowOff>203070</xdr:rowOff>
    </xdr:from>
    <xdr:to>
      <xdr:col>5</xdr:col>
      <xdr:colOff>119520</xdr:colOff>
      <xdr:row>5</xdr:row>
      <xdr:rowOff>207030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インク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14:cNvPr>
            <xdr14:cNvContentPartPr/>
          </xdr14:nvContentPartPr>
          <xdr14:nvPr macro=""/>
          <xdr14:xfrm>
            <a:off x="3547080" y="1393695"/>
            <a:ext cx="1440" cy="3960"/>
          </xdr14:xfrm>
        </xdr:contentPart>
      </mc:Choice>
      <mc:Fallback xmlns="">
        <xdr:pic>
          <xdr:nvPicPr>
            <xdr:cNvPr id="10" name="インク 9">
              <a:extLst>
                <a:ext uri="{FF2B5EF4-FFF2-40B4-BE49-F238E27FC236}">
                  <a16:creationId xmlns:a16="http://schemas.microsoft.com/office/drawing/2014/main" id="{CBF396C4-C439-CE26-31B9-C77A301FE71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38080" y="1385055"/>
              <a:ext cx="1908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493059</xdr:colOff>
      <xdr:row>4</xdr:row>
      <xdr:rowOff>43686</xdr:rowOff>
    </xdr:from>
    <xdr:to>
      <xdr:col>15</xdr:col>
      <xdr:colOff>493060</xdr:colOff>
      <xdr:row>13</xdr:row>
      <xdr:rowOff>34161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8012206" y="984980"/>
          <a:ext cx="2734236" cy="2108387"/>
        </a:xfrm>
        <a:prstGeom prst="roundRect">
          <a:avLst>
            <a:gd name="adj" fmla="val 17113"/>
          </a:avLst>
        </a:prstGeom>
        <a:pattFill prst="pct10">
          <a:fgClr>
            <a:schemeClr val="tx1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371020</xdr:colOff>
      <xdr:row>3</xdr:row>
      <xdr:rowOff>145677</xdr:rowOff>
    </xdr:from>
    <xdr:to>
      <xdr:col>13</xdr:col>
      <xdr:colOff>615098</xdr:colOff>
      <xdr:row>4</xdr:row>
      <xdr:rowOff>177019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テキスト ボックス 2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 txBox="1"/>
          </xdr:nvSpPr>
          <xdr:spPr>
            <a:xfrm>
              <a:off x="9257285" y="851648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2000" b="0" i="0">
                        <a:latin typeface="Cambria Math" panose="02040503050406030204" pitchFamily="18" charset="0"/>
                      </a:rPr>
                      <m:t>Ω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 xmlns="">
        <xdr:sp macro="" textlink="">
          <xdr:nvSpPr>
            <xdr:cNvPr id="34" name="テキスト ボックス 2">
              <a:extLst>
                <a:ext uri="{FF2B5EF4-FFF2-40B4-BE49-F238E27FC236}">
                  <a16:creationId xmlns:a16="http://schemas.microsoft.com/office/drawing/2014/main" id="{08C3EC82-DB37-FE46-A611-554CC2552693}"/>
                </a:ext>
              </a:extLst>
            </xdr:cNvPr>
            <xdr:cNvSpPr txBox="1"/>
          </xdr:nvSpPr>
          <xdr:spPr>
            <a:xfrm>
              <a:off x="9257285" y="851648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Ω</a:t>
              </a:r>
              <a:endParaRPr kumimoji="1" lang="ja-JP" altLang="en-US" sz="2000"/>
            </a:p>
          </xdr:txBody>
        </xdr:sp>
      </mc:Fallback>
    </mc:AlternateContent>
    <xdr:clientData/>
  </xdr:twoCellAnchor>
  <xdr:twoCellAnchor>
    <xdr:from>
      <xdr:col>12</xdr:col>
      <xdr:colOff>46433</xdr:colOff>
      <xdr:row>5</xdr:row>
      <xdr:rowOff>192303</xdr:rowOff>
    </xdr:from>
    <xdr:to>
      <xdr:col>14</xdr:col>
      <xdr:colOff>34527</xdr:colOff>
      <xdr:row>11</xdr:row>
      <xdr:rowOff>120866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8249139" y="1368921"/>
          <a:ext cx="1355212" cy="1340504"/>
        </a:xfrm>
        <a:prstGeom prst="ellipse">
          <a:avLst/>
        </a:prstGeom>
        <a:pattFill prst="pct10">
          <a:fgClr>
            <a:schemeClr val="tx1"/>
          </a:fgClr>
          <a:bgClr>
            <a:schemeClr val="bg1"/>
          </a:bgClr>
        </a:patt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605572</xdr:colOff>
      <xdr:row>5</xdr:row>
      <xdr:rowOff>69090</xdr:rowOff>
    </xdr:from>
    <xdr:to>
      <xdr:col>13</xdr:col>
      <xdr:colOff>132754</xdr:colOff>
      <xdr:row>6</xdr:row>
      <xdr:rowOff>80192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テキスト ボックス 4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 txBox="1"/>
          </xdr:nvSpPr>
          <xdr:spPr>
            <a:xfrm>
              <a:off x="8808278" y="1245708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36" name="テキスト ボックス 4">
              <a:extLst>
                <a:ext uri="{FF2B5EF4-FFF2-40B4-BE49-F238E27FC236}">
                  <a16:creationId xmlns:a16="http://schemas.microsoft.com/office/drawing/2014/main" id="{5EBDB035-589A-4FFB-8853-2616077A136B}"/>
                </a:ext>
              </a:extLst>
            </xdr:cNvPr>
            <xdr:cNvSpPr txBox="1"/>
          </xdr:nvSpPr>
          <xdr:spPr>
            <a:xfrm>
              <a:off x="8808278" y="1245708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𝐴</a:t>
              </a:r>
              <a:endParaRPr kumimoji="1" lang="ja-JP" altLang="en-US" sz="2000" i="1"/>
            </a:p>
          </xdr:txBody>
        </xdr:sp>
      </mc:Fallback>
    </mc:AlternateContent>
    <xdr:clientData/>
  </xdr:twoCellAnchor>
  <xdr:twoCellAnchor>
    <xdr:from>
      <xdr:col>13</xdr:col>
      <xdr:colOff>251221</xdr:colOff>
      <xdr:row>5</xdr:row>
      <xdr:rowOff>192303</xdr:rowOff>
    </xdr:from>
    <xdr:to>
      <xdr:col>15</xdr:col>
      <xdr:colOff>239317</xdr:colOff>
      <xdr:row>11</xdr:row>
      <xdr:rowOff>120866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9137486" y="1368921"/>
          <a:ext cx="1355213" cy="1340504"/>
        </a:xfrm>
        <a:prstGeom prst="ellipse">
          <a:avLst/>
        </a:prstGeom>
        <a:noFill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207536</xdr:colOff>
      <xdr:row>5</xdr:row>
      <xdr:rowOff>69089</xdr:rowOff>
    </xdr:from>
    <xdr:to>
      <xdr:col>14</xdr:col>
      <xdr:colOff>418277</xdr:colOff>
      <xdr:row>6</xdr:row>
      <xdr:rowOff>80191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テキスト ボックス 14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 txBox="1"/>
          </xdr:nvSpPr>
          <xdr:spPr>
            <a:xfrm>
              <a:off x="9777360" y="1245707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38" name="テキスト ボックス 14">
              <a:extLst>
                <a:ext uri="{FF2B5EF4-FFF2-40B4-BE49-F238E27FC236}">
                  <a16:creationId xmlns:a16="http://schemas.microsoft.com/office/drawing/2014/main" id="{6FE05AA1-8A7A-7F85-3229-C71A2F72FF27}"/>
                </a:ext>
              </a:extLst>
            </xdr:cNvPr>
            <xdr:cNvSpPr txBox="1"/>
          </xdr:nvSpPr>
          <xdr:spPr>
            <a:xfrm>
              <a:off x="9777360" y="1245707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𝐵</a:t>
              </a:r>
              <a:endParaRPr kumimoji="1" lang="ja-JP" altLang="en-US" sz="2000" i="1"/>
            </a:p>
          </xdr:txBody>
        </xdr:sp>
      </mc:Fallback>
    </mc:AlternateContent>
    <xdr:clientData/>
  </xdr:twoCellAnchor>
  <xdr:twoCellAnchor>
    <xdr:from>
      <xdr:col>13</xdr:col>
      <xdr:colOff>251221</xdr:colOff>
      <xdr:row>6</xdr:row>
      <xdr:rowOff>124756</xdr:rowOff>
    </xdr:from>
    <xdr:to>
      <xdr:col>14</xdr:col>
      <xdr:colOff>34527</xdr:colOff>
      <xdr:row>10</xdr:row>
      <xdr:rowOff>188414</xdr:rowOff>
    </xdr:to>
    <xdr:sp macro="" textlink="">
      <xdr:nvSpPr>
        <xdr:cNvPr id="39" name="フリーフォーム: 図形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9137486" y="1536697"/>
          <a:ext cx="466865" cy="1004952"/>
        </a:xfrm>
        <a:custGeom>
          <a:avLst/>
          <a:gdLst>
            <a:gd name="connsiteX0" fmla="*/ 233433 w 466865"/>
            <a:gd name="connsiteY0" fmla="*/ 0 h 1004952"/>
            <a:gd name="connsiteX1" fmla="*/ 268399 w 466865"/>
            <a:gd name="connsiteY1" fmla="*/ 28536 h 1004952"/>
            <a:gd name="connsiteX2" fmla="*/ 466865 w 466865"/>
            <a:gd name="connsiteY2" fmla="*/ 502476 h 1004952"/>
            <a:gd name="connsiteX3" fmla="*/ 268399 w 466865"/>
            <a:gd name="connsiteY3" fmla="*/ 976416 h 1004952"/>
            <a:gd name="connsiteX4" fmla="*/ 233433 w 466865"/>
            <a:gd name="connsiteY4" fmla="*/ 1004952 h 1004952"/>
            <a:gd name="connsiteX5" fmla="*/ 198467 w 466865"/>
            <a:gd name="connsiteY5" fmla="*/ 976416 h 1004952"/>
            <a:gd name="connsiteX6" fmla="*/ 0 w 466865"/>
            <a:gd name="connsiteY6" fmla="*/ 502476 h 1004952"/>
            <a:gd name="connsiteX7" fmla="*/ 198467 w 466865"/>
            <a:gd name="connsiteY7" fmla="*/ 28536 h 10049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66865" h="1004952">
              <a:moveTo>
                <a:pt x="233433" y="0"/>
              </a:moveTo>
              <a:lnTo>
                <a:pt x="268399" y="28536"/>
              </a:lnTo>
              <a:cubicBezTo>
                <a:pt x="391022" y="149828"/>
                <a:pt x="466865" y="317391"/>
                <a:pt x="466865" y="502476"/>
              </a:cubicBezTo>
              <a:cubicBezTo>
                <a:pt x="466865" y="687561"/>
                <a:pt x="391022" y="855124"/>
                <a:pt x="268399" y="976416"/>
              </a:cubicBezTo>
              <a:lnTo>
                <a:pt x="233433" y="1004952"/>
              </a:lnTo>
              <a:lnTo>
                <a:pt x="198467" y="976416"/>
              </a:lnTo>
              <a:cubicBezTo>
                <a:pt x="75844" y="855124"/>
                <a:pt x="0" y="687561"/>
                <a:pt x="0" y="502476"/>
              </a:cubicBezTo>
              <a:cubicBezTo>
                <a:pt x="0" y="317391"/>
                <a:pt x="75844" y="149828"/>
                <a:pt x="198467" y="28536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493059</xdr:colOff>
      <xdr:row>15</xdr:row>
      <xdr:rowOff>189432</xdr:rowOff>
    </xdr:from>
    <xdr:to>
      <xdr:col>15</xdr:col>
      <xdr:colOff>493060</xdr:colOff>
      <xdr:row>24</xdr:row>
      <xdr:rowOff>179907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8012206" y="3719285"/>
          <a:ext cx="2734236" cy="2108387"/>
        </a:xfrm>
        <a:prstGeom prst="roundRect">
          <a:avLst>
            <a:gd name="adj" fmla="val 17113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371020</xdr:colOff>
      <xdr:row>15</xdr:row>
      <xdr:rowOff>56100</xdr:rowOff>
    </xdr:from>
    <xdr:to>
      <xdr:col>13</xdr:col>
      <xdr:colOff>615098</xdr:colOff>
      <xdr:row>16</xdr:row>
      <xdr:rowOff>87442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テキスト ボックス 2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 txBox="1"/>
          </xdr:nvSpPr>
          <xdr:spPr>
            <a:xfrm>
              <a:off x="9257285" y="3585953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2000" b="0" i="0">
                        <a:latin typeface="Cambria Math" panose="02040503050406030204" pitchFamily="18" charset="0"/>
                      </a:rPr>
                      <m:t>Ω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 xmlns="">
        <xdr:sp macro="" textlink="">
          <xdr:nvSpPr>
            <xdr:cNvPr id="47" name="テキスト ボックス 27">
              <a:extLst>
                <a:ext uri="{FF2B5EF4-FFF2-40B4-BE49-F238E27FC236}">
                  <a16:creationId xmlns:a16="http://schemas.microsoft.com/office/drawing/2014/main" id="{930BFAE3-9069-1A0C-A1DE-1A272BFC8900}"/>
                </a:ext>
              </a:extLst>
            </xdr:cNvPr>
            <xdr:cNvSpPr txBox="1"/>
          </xdr:nvSpPr>
          <xdr:spPr>
            <a:xfrm>
              <a:off x="9257285" y="3585953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Ω</a:t>
              </a:r>
              <a:endParaRPr kumimoji="1" lang="ja-JP" altLang="en-US" sz="2000"/>
            </a:p>
          </xdr:txBody>
        </xdr:sp>
      </mc:Fallback>
    </mc:AlternateContent>
    <xdr:clientData/>
  </xdr:twoCellAnchor>
  <xdr:twoCellAnchor>
    <xdr:from>
      <xdr:col>12</xdr:col>
      <xdr:colOff>46433</xdr:colOff>
      <xdr:row>17</xdr:row>
      <xdr:rowOff>102726</xdr:rowOff>
    </xdr:from>
    <xdr:to>
      <xdr:col>14</xdr:col>
      <xdr:colOff>34527</xdr:colOff>
      <xdr:row>23</xdr:row>
      <xdr:rowOff>31289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8249139" y="4103226"/>
          <a:ext cx="1355212" cy="1340504"/>
        </a:xfrm>
        <a:prstGeom prst="ellipse">
          <a:avLst/>
        </a:prstGeom>
        <a:pattFill prst="pct10">
          <a:fgClr>
            <a:schemeClr val="tx1"/>
          </a:fgClr>
          <a:bgClr>
            <a:schemeClr val="bg1"/>
          </a:bgClr>
        </a:patt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605572</xdr:colOff>
      <xdr:row>16</xdr:row>
      <xdr:rowOff>214837</xdr:rowOff>
    </xdr:from>
    <xdr:to>
      <xdr:col>13</xdr:col>
      <xdr:colOff>132754</xdr:colOff>
      <xdr:row>17</xdr:row>
      <xdr:rowOff>225938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2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SpPr txBox="1"/>
          </xdr:nvSpPr>
          <xdr:spPr>
            <a:xfrm>
              <a:off x="8808278" y="3980013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49" name="テキスト ボックス 29">
              <a:extLst>
                <a:ext uri="{FF2B5EF4-FFF2-40B4-BE49-F238E27FC236}">
                  <a16:creationId xmlns:a16="http://schemas.microsoft.com/office/drawing/2014/main" id="{D8FB8017-F648-8E5D-C5D7-41498543E5B3}"/>
                </a:ext>
              </a:extLst>
            </xdr:cNvPr>
            <xdr:cNvSpPr txBox="1"/>
          </xdr:nvSpPr>
          <xdr:spPr>
            <a:xfrm>
              <a:off x="8808278" y="3980013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𝐴</a:t>
              </a:r>
              <a:endParaRPr kumimoji="1" lang="ja-JP" altLang="en-US" sz="2000" i="1"/>
            </a:p>
          </xdr:txBody>
        </xdr:sp>
      </mc:Fallback>
    </mc:AlternateContent>
    <xdr:clientData/>
  </xdr:twoCellAnchor>
  <xdr:twoCellAnchor editAs="oneCell">
    <xdr:from>
      <xdr:col>5</xdr:col>
      <xdr:colOff>78442</xdr:colOff>
      <xdr:row>17</xdr:row>
      <xdr:rowOff>112060</xdr:rowOff>
    </xdr:from>
    <xdr:to>
      <xdr:col>9</xdr:col>
      <xdr:colOff>78442</xdr:colOff>
      <xdr:row>26</xdr:row>
      <xdr:rowOff>216834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4112560"/>
          <a:ext cx="2734235" cy="2222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190499</xdr:colOff>
      <xdr:row>17</xdr:row>
      <xdr:rowOff>212912</xdr:rowOff>
    </xdr:from>
    <xdr:to>
      <xdr:col>23</xdr:col>
      <xdr:colOff>190499</xdr:colOff>
      <xdr:row>27</xdr:row>
      <xdr:rowOff>82363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117" y="4213412"/>
          <a:ext cx="2734235" cy="2222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179294</xdr:colOff>
      <xdr:row>3</xdr:row>
      <xdr:rowOff>155743</xdr:rowOff>
    </xdr:from>
    <xdr:to>
      <xdr:col>29</xdr:col>
      <xdr:colOff>179295</xdr:colOff>
      <xdr:row>12</xdr:row>
      <xdr:rowOff>146219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17268265" y="861714"/>
          <a:ext cx="2734236" cy="2108387"/>
        </a:xfrm>
        <a:prstGeom prst="roundRect">
          <a:avLst>
            <a:gd name="adj" fmla="val 17113"/>
          </a:avLst>
        </a:prstGeom>
        <a:pattFill prst="pct10">
          <a:fgClr>
            <a:schemeClr val="tx1"/>
          </a:fgClr>
          <a:bgClr>
            <a:schemeClr val="bg1"/>
          </a:bgClr>
        </a:patt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57256</xdr:colOff>
      <xdr:row>3</xdr:row>
      <xdr:rowOff>22411</xdr:rowOff>
    </xdr:from>
    <xdr:to>
      <xdr:col>27</xdr:col>
      <xdr:colOff>301334</xdr:colOff>
      <xdr:row>4</xdr:row>
      <xdr:rowOff>53753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テキスト ボックス 19">
              <a:extLst>
                <a:ext uri="{FF2B5EF4-FFF2-40B4-BE49-F238E27FC236}">
                  <a16:creationId xmlns:a16="http://schemas.microsoft.com/office/drawing/2014/main" id="{00000000-0008-0000-0300-000038000000}"/>
                </a:ext>
              </a:extLst>
            </xdr:cNvPr>
            <xdr:cNvSpPr txBox="1"/>
          </xdr:nvSpPr>
          <xdr:spPr>
            <a:xfrm>
              <a:off x="18513344" y="728382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2000" b="0" i="0">
                        <a:latin typeface="Cambria Math" panose="02040503050406030204" pitchFamily="18" charset="0"/>
                      </a:rPr>
                      <m:t>Ω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 xmlns="">
        <xdr:sp macro="" textlink="">
          <xdr:nvSpPr>
            <xdr:cNvPr id="56" name="テキスト ボックス 19">
              <a:extLst>
                <a:ext uri="{FF2B5EF4-FFF2-40B4-BE49-F238E27FC236}">
                  <a16:creationId xmlns:a16="http://schemas.microsoft.com/office/drawing/2014/main" id="{45C388D8-4B0F-4048-B14B-F329893418D0}"/>
                </a:ext>
              </a:extLst>
            </xdr:cNvPr>
            <xdr:cNvSpPr txBox="1"/>
          </xdr:nvSpPr>
          <xdr:spPr>
            <a:xfrm>
              <a:off x="18513344" y="728382"/>
              <a:ext cx="244078" cy="26666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Ω</a:t>
              </a:r>
              <a:endParaRPr kumimoji="1" lang="ja-JP" altLang="en-US" sz="2000"/>
            </a:p>
          </xdr:txBody>
        </xdr:sp>
      </mc:Fallback>
    </mc:AlternateContent>
    <xdr:clientData/>
  </xdr:twoCellAnchor>
  <xdr:twoCellAnchor>
    <xdr:from>
      <xdr:col>25</xdr:col>
      <xdr:colOff>416227</xdr:colOff>
      <xdr:row>5</xdr:row>
      <xdr:rowOff>69037</xdr:rowOff>
    </xdr:from>
    <xdr:to>
      <xdr:col>28</xdr:col>
      <xdr:colOff>609112</xdr:colOff>
      <xdr:row>10</xdr:row>
      <xdr:rowOff>232924</xdr:rowOff>
    </xdr:to>
    <xdr:sp macro="" textlink="">
      <xdr:nvSpPr>
        <xdr:cNvPr id="57" name="フリーフォーム: 図形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7505198" y="1245655"/>
          <a:ext cx="2243561" cy="1340504"/>
        </a:xfrm>
        <a:custGeom>
          <a:avLst/>
          <a:gdLst>
            <a:gd name="connsiteX0" fmla="*/ 677606 w 2243561"/>
            <a:gd name="connsiteY0" fmla="*/ 0 h 1340504"/>
            <a:gd name="connsiteX1" fmla="*/ 1056462 w 2243561"/>
            <a:gd name="connsiteY1" fmla="*/ 114469 h 1340504"/>
            <a:gd name="connsiteX2" fmla="*/ 1121780 w 2243561"/>
            <a:gd name="connsiteY2" fmla="*/ 167776 h 1340504"/>
            <a:gd name="connsiteX3" fmla="*/ 1187098 w 2243561"/>
            <a:gd name="connsiteY3" fmla="*/ 114469 h 1340504"/>
            <a:gd name="connsiteX4" fmla="*/ 1565954 w 2243561"/>
            <a:gd name="connsiteY4" fmla="*/ 0 h 1340504"/>
            <a:gd name="connsiteX5" fmla="*/ 2243561 w 2243561"/>
            <a:gd name="connsiteY5" fmla="*/ 670252 h 1340504"/>
            <a:gd name="connsiteX6" fmla="*/ 1565954 w 2243561"/>
            <a:gd name="connsiteY6" fmla="*/ 1340504 h 1340504"/>
            <a:gd name="connsiteX7" fmla="*/ 1187098 w 2243561"/>
            <a:gd name="connsiteY7" fmla="*/ 1226036 h 1340504"/>
            <a:gd name="connsiteX8" fmla="*/ 1121780 w 2243561"/>
            <a:gd name="connsiteY8" fmla="*/ 1172728 h 1340504"/>
            <a:gd name="connsiteX9" fmla="*/ 1056462 w 2243561"/>
            <a:gd name="connsiteY9" fmla="*/ 1226036 h 1340504"/>
            <a:gd name="connsiteX10" fmla="*/ 677606 w 2243561"/>
            <a:gd name="connsiteY10" fmla="*/ 1340504 h 1340504"/>
            <a:gd name="connsiteX11" fmla="*/ 0 w 2243561"/>
            <a:gd name="connsiteY11" fmla="*/ 670252 h 1340504"/>
            <a:gd name="connsiteX12" fmla="*/ 677606 w 2243561"/>
            <a:gd name="connsiteY12" fmla="*/ 0 h 13405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2243561" h="1340504">
              <a:moveTo>
                <a:pt x="677606" y="0"/>
              </a:moveTo>
              <a:cubicBezTo>
                <a:pt x="817942" y="0"/>
                <a:pt x="948315" y="42199"/>
                <a:pt x="1056462" y="114469"/>
              </a:cubicBezTo>
              <a:lnTo>
                <a:pt x="1121780" y="167776"/>
              </a:lnTo>
              <a:lnTo>
                <a:pt x="1187098" y="114469"/>
              </a:lnTo>
              <a:cubicBezTo>
                <a:pt x="1295245" y="42199"/>
                <a:pt x="1425617" y="0"/>
                <a:pt x="1565954" y="0"/>
              </a:cubicBezTo>
              <a:cubicBezTo>
                <a:pt x="1940186" y="0"/>
                <a:pt x="2243561" y="300082"/>
                <a:pt x="2243561" y="670252"/>
              </a:cubicBezTo>
              <a:cubicBezTo>
                <a:pt x="2243561" y="1040422"/>
                <a:pt x="1940186" y="1340504"/>
                <a:pt x="1565954" y="1340504"/>
              </a:cubicBezTo>
              <a:cubicBezTo>
                <a:pt x="1425617" y="1340504"/>
                <a:pt x="1295245" y="1298305"/>
                <a:pt x="1187098" y="1226036"/>
              </a:cubicBezTo>
              <a:lnTo>
                <a:pt x="1121780" y="1172728"/>
              </a:lnTo>
              <a:lnTo>
                <a:pt x="1056462" y="1226036"/>
              </a:lnTo>
              <a:cubicBezTo>
                <a:pt x="948315" y="1298305"/>
                <a:pt x="817942" y="1340504"/>
                <a:pt x="677606" y="1340504"/>
              </a:cubicBezTo>
              <a:cubicBezTo>
                <a:pt x="303375" y="1340504"/>
                <a:pt x="0" y="1040422"/>
                <a:pt x="0" y="670252"/>
              </a:cubicBezTo>
              <a:cubicBezTo>
                <a:pt x="0" y="300082"/>
                <a:pt x="303375" y="0"/>
                <a:pt x="677606" y="0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577331</xdr:colOff>
      <xdr:row>4</xdr:row>
      <xdr:rowOff>181147</xdr:rowOff>
    </xdr:from>
    <xdr:to>
      <xdr:col>28</xdr:col>
      <xdr:colOff>104513</xdr:colOff>
      <xdr:row>5</xdr:row>
      <xdr:rowOff>192248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テキスト ボックス 23">
              <a:extLst>
                <a:ext uri="{FF2B5EF4-FFF2-40B4-BE49-F238E27FC236}">
                  <a16:creationId xmlns:a16="http://schemas.microsoft.com/office/drawing/2014/main" id="{00000000-0008-0000-0300-00003A000000}"/>
                </a:ext>
              </a:extLst>
            </xdr:cNvPr>
            <xdr:cNvSpPr txBox="1"/>
          </xdr:nvSpPr>
          <xdr:spPr>
            <a:xfrm>
              <a:off x="19033419" y="1122441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58" name="テキスト ボックス 23">
              <a:extLst>
                <a:ext uri="{FF2B5EF4-FFF2-40B4-BE49-F238E27FC236}">
                  <a16:creationId xmlns:a16="http://schemas.microsoft.com/office/drawing/2014/main" id="{70787235-266F-48F5-A058-3DF177315E04}"/>
                </a:ext>
              </a:extLst>
            </xdr:cNvPr>
            <xdr:cNvSpPr txBox="1"/>
          </xdr:nvSpPr>
          <xdr:spPr>
            <a:xfrm>
              <a:off x="19033419" y="1122441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𝐵</a:t>
              </a:r>
              <a:endParaRPr kumimoji="1" lang="ja-JP" altLang="en-US" sz="2000" i="1"/>
            </a:p>
          </xdr:txBody>
        </xdr:sp>
      </mc:Fallback>
    </mc:AlternateContent>
    <xdr:clientData/>
  </xdr:twoCellAnchor>
  <xdr:twoCellAnchor>
    <xdr:from>
      <xdr:col>26</xdr:col>
      <xdr:colOff>621016</xdr:colOff>
      <xdr:row>6</xdr:row>
      <xdr:rowOff>1490</xdr:rowOff>
    </xdr:from>
    <xdr:to>
      <xdr:col>27</xdr:col>
      <xdr:colOff>404322</xdr:colOff>
      <xdr:row>10</xdr:row>
      <xdr:rowOff>65148</xdr:rowOff>
    </xdr:to>
    <xdr:sp macro="" textlink="">
      <xdr:nvSpPr>
        <xdr:cNvPr id="59" name="フリーフォーム: 図形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8393545" y="1413431"/>
          <a:ext cx="466865" cy="1004952"/>
        </a:xfrm>
        <a:custGeom>
          <a:avLst/>
          <a:gdLst>
            <a:gd name="connsiteX0" fmla="*/ 233433 w 466865"/>
            <a:gd name="connsiteY0" fmla="*/ 0 h 1004952"/>
            <a:gd name="connsiteX1" fmla="*/ 268399 w 466865"/>
            <a:gd name="connsiteY1" fmla="*/ 28536 h 1004952"/>
            <a:gd name="connsiteX2" fmla="*/ 466865 w 466865"/>
            <a:gd name="connsiteY2" fmla="*/ 502476 h 1004952"/>
            <a:gd name="connsiteX3" fmla="*/ 268399 w 466865"/>
            <a:gd name="connsiteY3" fmla="*/ 976416 h 1004952"/>
            <a:gd name="connsiteX4" fmla="*/ 233433 w 466865"/>
            <a:gd name="connsiteY4" fmla="*/ 1004952 h 1004952"/>
            <a:gd name="connsiteX5" fmla="*/ 198467 w 466865"/>
            <a:gd name="connsiteY5" fmla="*/ 976416 h 1004952"/>
            <a:gd name="connsiteX6" fmla="*/ 0 w 466865"/>
            <a:gd name="connsiteY6" fmla="*/ 502476 h 1004952"/>
            <a:gd name="connsiteX7" fmla="*/ 198467 w 466865"/>
            <a:gd name="connsiteY7" fmla="*/ 28536 h 100495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66865" h="1004952">
              <a:moveTo>
                <a:pt x="233433" y="0"/>
              </a:moveTo>
              <a:lnTo>
                <a:pt x="268399" y="28536"/>
              </a:lnTo>
              <a:cubicBezTo>
                <a:pt x="391022" y="149828"/>
                <a:pt x="466865" y="317391"/>
                <a:pt x="466865" y="502476"/>
              </a:cubicBezTo>
              <a:cubicBezTo>
                <a:pt x="466865" y="687561"/>
                <a:pt x="391022" y="855124"/>
                <a:pt x="268399" y="976416"/>
              </a:cubicBezTo>
              <a:lnTo>
                <a:pt x="233433" y="1004952"/>
              </a:lnTo>
              <a:lnTo>
                <a:pt x="198467" y="976416"/>
              </a:lnTo>
              <a:cubicBezTo>
                <a:pt x="75844" y="855124"/>
                <a:pt x="0" y="687561"/>
                <a:pt x="0" y="502476"/>
              </a:cubicBezTo>
              <a:cubicBezTo>
                <a:pt x="0" y="317391"/>
                <a:pt x="75844" y="149828"/>
                <a:pt x="198467" y="28536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291808</xdr:colOff>
      <xdr:row>4</xdr:row>
      <xdr:rowOff>181148</xdr:rowOff>
    </xdr:from>
    <xdr:to>
      <xdr:col>26</xdr:col>
      <xdr:colOff>502549</xdr:colOff>
      <xdr:row>5</xdr:row>
      <xdr:rowOff>192249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テキスト ボックス 21">
              <a:extLst>
                <a:ext uri="{FF2B5EF4-FFF2-40B4-BE49-F238E27FC236}">
                  <a16:creationId xmlns:a16="http://schemas.microsoft.com/office/drawing/2014/main" id="{00000000-0008-0000-0300-00003C000000}"/>
                </a:ext>
              </a:extLst>
            </xdr:cNvPr>
            <xdr:cNvSpPr txBox="1"/>
          </xdr:nvSpPr>
          <xdr:spPr>
            <a:xfrm>
              <a:off x="18064337" y="1122442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kumimoji="1" lang="ja-JP" altLang="en-US" sz="2000" i="1"/>
            </a:p>
          </xdr:txBody>
        </xdr:sp>
      </mc:Choice>
      <mc:Fallback xmlns="">
        <xdr:sp macro="" textlink="">
          <xdr:nvSpPr>
            <xdr:cNvPr id="60" name="テキスト ボックス 21">
              <a:extLst>
                <a:ext uri="{FF2B5EF4-FFF2-40B4-BE49-F238E27FC236}">
                  <a16:creationId xmlns:a16="http://schemas.microsoft.com/office/drawing/2014/main" id="{F6D1AA7E-EF3B-436E-9E65-3A1015351006}"/>
                </a:ext>
              </a:extLst>
            </xdr:cNvPr>
            <xdr:cNvSpPr txBox="1"/>
          </xdr:nvSpPr>
          <xdr:spPr>
            <a:xfrm>
              <a:off x="18064337" y="1122442"/>
              <a:ext cx="210741" cy="246425"/>
            </a:xfrm>
            <a:prstGeom prst="rect">
              <a:avLst/>
            </a:prstGeom>
            <a:solidFill>
              <a:sysClr val="window" lastClr="FFFFFF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kumimoji="1" lang="en-US" altLang="ja-JP" sz="2000" b="0" i="0">
                  <a:latin typeface="Cambria Math" panose="02040503050406030204" pitchFamily="18" charset="0"/>
                </a:rPr>
                <a:t>𝐴</a:t>
              </a:r>
              <a:endParaRPr kumimoji="1" lang="ja-JP" altLang="en-US" sz="2000" i="1"/>
            </a:p>
          </xdr:txBody>
        </xdr:sp>
      </mc:Fallback>
    </mc:AlternateContent>
    <xdr:clientData/>
  </xdr:twoCellAnchor>
  <xdr:oneCellAnchor>
    <xdr:from>
      <xdr:col>19</xdr:col>
      <xdr:colOff>228600</xdr:colOff>
      <xdr:row>12</xdr:row>
      <xdr:rowOff>152400</xdr:rowOff>
    </xdr:from>
    <xdr:ext cx="329001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テキスト ボックス 62">
              <a:extLst>
                <a:ext uri="{FF2B5EF4-FFF2-40B4-BE49-F238E27FC236}">
                  <a16:creationId xmlns:a16="http://schemas.microsoft.com/office/drawing/2014/main" id="{00000000-0008-0000-0300-00003F000000}"/>
                </a:ext>
              </a:extLst>
            </xdr:cNvPr>
            <xdr:cNvSpPr txBox="1"/>
          </xdr:nvSpPr>
          <xdr:spPr>
            <a:xfrm>
              <a:off x="13258800" y="3009900"/>
              <a:ext cx="329001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20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kumimoji="1" lang="en-US" altLang="ja-JP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p>
                        <m:r>
                          <a:rPr kumimoji="1" lang="en-US" altLang="ja-JP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p>
                  </m:oMath>
                </m:oMathPara>
              </a14:m>
              <a:endParaRPr kumimoji="1" lang="ja-JP" altLang="en-US" sz="2000"/>
            </a:p>
          </xdr:txBody>
        </xdr:sp>
      </mc:Choice>
      <mc:Fallback xmlns="">
        <xdr:sp macro="" textlink="">
          <xdr:nvSpPr>
            <xdr:cNvPr id="63" name="テキスト ボックス 62">
              <a:extLst>
                <a:ext uri="{FF2B5EF4-FFF2-40B4-BE49-F238E27FC236}">
                  <a16:creationId xmlns:a16="http://schemas.microsoft.com/office/drawing/2014/main" id="{7B16FCFA-AAC8-CE4E-70B5-BB125C60AE32}"/>
                </a:ext>
              </a:extLst>
            </xdr:cNvPr>
            <xdr:cNvSpPr txBox="1"/>
          </xdr:nvSpPr>
          <xdr:spPr>
            <a:xfrm>
              <a:off x="13258800" y="3009900"/>
              <a:ext cx="329001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2000" b="0" i="0">
                  <a:latin typeface="Cambria Math" panose="02040503050406030204" pitchFamily="18" charset="0"/>
                </a:rPr>
                <a:t>𝐴^𝑐</a:t>
              </a:r>
              <a:endParaRPr kumimoji="1" lang="ja-JP" altLang="en-US" sz="2000"/>
            </a:p>
          </xdr:txBody>
        </xdr:sp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25T07:13:26.518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45 435 24575,'3'-37'0,"-2"32"0,0 0 0,0 0 0,-1 1 0,0-1 0,0 0 0,0 0 0,0 0 0,-1 0 0,0 1 0,0-1 0,0 0 0,-1 0 0,1 1 0,-5-9 0,3 7 0,1 1 0,-1-1 0,2 0 0,-1 0 0,1 0 0,0 0 0,0 0 0,0-1 0,1 1 0,1-8 0,-1 7 0,0 1 0,0 0 0,-1-1 0,1 1 0,-1 0 0,-1 0 0,1-1 0,-1 1 0,-4-10 0,3 7 0,1 0 0,0 0 0,0 0 0,1 0 0,1-1 0,-1 1 0,1 0 0,1-1 0,2-11 0,-1-15 0,-2 26-92,0-10 302,0 20-252,0 0 0,0 0-1,0 0 1,0 0-1,0 0 1,0 0 0,0 0-1,0 0 1,-1 0-1,1 0 1,0 0 0,0 0-1,0 0 1,0 0 0,0 0-1,0 0 1,0 0-1,-1 0 1,1 0 0,0 0-1,0 0 1,0 0 0,0 0-1,0 0 1,0 0-1,0 0 1,0 0 0,0 0-1,-1 0 1,1 0 0,0 0-1,0-1 1,0 1-1,0 0 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25T07:13:29.549"/>
    </inkml:context>
    <inkml:brush xml:id="br0">
      <inkml:brushProperty name="width" value="0.05" units="cm"/>
      <inkml:brushProperty name="height" value="0.05" units="cm"/>
      <inkml:brushProperty name="color" value="#FFFFFF"/>
    </inkml:brush>
  </inkml:definitions>
  <inkml:trace contextRef="#ctx0" brushRef="#br0">3 11 24575,'0'-1'0,"0"-1"0,-1-1 0,-1-1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737C-F6AA-4006-B43B-7B5C674FB4EF}">
  <dimension ref="D6:N23"/>
  <sheetViews>
    <sheetView showGridLines="0" workbookViewId="0">
      <selection activeCell="E7" sqref="E7:M22"/>
    </sheetView>
  </sheetViews>
  <sheetFormatPr defaultRowHeight="18.75" x14ac:dyDescent="0.4"/>
  <sheetData>
    <row r="6" spans="4:8" x14ac:dyDescent="0.4">
      <c r="D6" s="17"/>
    </row>
    <row r="7" spans="4:8" x14ac:dyDescent="0.4">
      <c r="H7" s="16"/>
    </row>
    <row r="23" spans="14:14" x14ac:dyDescent="0.4">
      <c r="N23" s="17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5E99-F09E-4B7C-8D44-F8B0DAA45F67}">
  <dimension ref="C8:I15"/>
  <sheetViews>
    <sheetView showGridLines="0" tabSelected="1" zoomScaleNormal="100" workbookViewId="0">
      <selection activeCell="D9" sqref="D9:H14"/>
    </sheetView>
  </sheetViews>
  <sheetFormatPr defaultRowHeight="18.75" x14ac:dyDescent="0.4"/>
  <cols>
    <col min="4" max="4" width="3.75" customWidth="1"/>
    <col min="5" max="5" width="20.25" bestFit="1" customWidth="1"/>
    <col min="8" max="8" width="3.75" customWidth="1"/>
  </cols>
  <sheetData>
    <row r="8" spans="3:9" x14ac:dyDescent="0.4">
      <c r="C8" s="17"/>
    </row>
    <row r="9" spans="3:9" ht="15" customHeight="1" thickBot="1" x14ac:dyDescent="0.45">
      <c r="E9" s="20"/>
      <c r="F9" s="20"/>
      <c r="G9" s="20"/>
    </row>
    <row r="10" spans="3:9" ht="22.5" customHeight="1" x14ac:dyDescent="0.4">
      <c r="E10" s="19"/>
      <c r="F10" s="22" t="s">
        <v>15</v>
      </c>
      <c r="G10" s="22" t="s">
        <v>17</v>
      </c>
    </row>
    <row r="11" spans="3:9" ht="22.5" customHeight="1" x14ac:dyDescent="0.4">
      <c r="E11" t="s">
        <v>13</v>
      </c>
      <c r="F11">
        <v>55</v>
      </c>
      <c r="G11" s="18">
        <f>F11/$F$13</f>
        <v>0.55000000000000004</v>
      </c>
    </row>
    <row r="12" spans="3:9" ht="22.5" customHeight="1" x14ac:dyDescent="0.4">
      <c r="E12" s="19" t="s">
        <v>14</v>
      </c>
      <c r="F12" s="19">
        <v>45</v>
      </c>
      <c r="G12" s="47">
        <f>F12/$F$13</f>
        <v>0.45</v>
      </c>
    </row>
    <row r="13" spans="3:9" ht="22.5" customHeight="1" x14ac:dyDescent="0.4">
      <c r="E13" s="21" t="s">
        <v>16</v>
      </c>
      <c r="F13" s="19">
        <f>SUM(F11:F12)</f>
        <v>100</v>
      </c>
      <c r="G13" s="19"/>
    </row>
    <row r="14" spans="3:9" ht="15" customHeight="1" x14ac:dyDescent="0.4">
      <c r="E14" s="23"/>
    </row>
    <row r="15" spans="3:9" x14ac:dyDescent="0.4">
      <c r="I15" s="17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865A-385F-45FE-AB9C-30AC17B5039F}">
  <dimension ref="A14:AW109"/>
  <sheetViews>
    <sheetView showGridLines="0" topLeftCell="Q82" zoomScaleNormal="100" workbookViewId="0">
      <selection activeCell="AA92" sqref="AA84:AK92"/>
    </sheetView>
  </sheetViews>
  <sheetFormatPr defaultRowHeight="18.75" x14ac:dyDescent="0.4"/>
  <cols>
    <col min="3" max="3" width="1.25" customWidth="1"/>
    <col min="5" max="5" width="2.875" customWidth="1"/>
    <col min="6" max="6" width="8.875" customWidth="1"/>
    <col min="7" max="7" width="2.875" customWidth="1"/>
    <col min="8" max="8" width="8.875" customWidth="1"/>
    <col min="9" max="9" width="2.875" customWidth="1"/>
    <col min="10" max="10" width="8.875" customWidth="1"/>
    <col min="11" max="11" width="2.875" customWidth="1"/>
    <col min="12" max="12" width="8.875" customWidth="1"/>
    <col min="13" max="13" width="2.875" customWidth="1"/>
    <col min="14" max="14" width="8.875" customWidth="1"/>
    <col min="15" max="15" width="2.875" customWidth="1"/>
    <col min="16" max="16" width="8.875" customWidth="1"/>
    <col min="17" max="17" width="2.875" customWidth="1"/>
    <col min="18" max="18" width="8.875" customWidth="1"/>
    <col min="19" max="19" width="2.875" customWidth="1"/>
    <col min="20" max="20" width="8.875" customWidth="1"/>
    <col min="21" max="21" width="2.875" customWidth="1"/>
    <col min="22" max="22" width="8.875" customWidth="1"/>
    <col min="23" max="23" width="2.875" customWidth="1"/>
    <col min="24" max="24" width="1.375" customWidth="1"/>
    <col min="25" max="25" width="7.5" customWidth="1"/>
    <col min="27" max="27" width="9" customWidth="1"/>
  </cols>
  <sheetData>
    <row r="14" spans="1:23" x14ac:dyDescent="0.4">
      <c r="B14" s="17"/>
    </row>
    <row r="15" spans="1:23" ht="6.75" customHeight="1" x14ac:dyDescent="0.4">
      <c r="A15" s="17"/>
    </row>
    <row r="16" spans="1:23" ht="7.5" customHeight="1" x14ac:dyDescent="0.4"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</row>
    <row r="17" spans="4:25" ht="53.25" customHeight="1" x14ac:dyDescent="0.4">
      <c r="D17" s="27" t="s">
        <v>0</v>
      </c>
      <c r="E17" s="2"/>
      <c r="F17" s="15" t="s">
        <v>4</v>
      </c>
      <c r="G17" s="4"/>
      <c r="H17" s="15" t="s">
        <v>5</v>
      </c>
      <c r="I17" s="4"/>
      <c r="J17" s="15" t="s">
        <v>6</v>
      </c>
      <c r="K17" s="4"/>
      <c r="L17" s="15" t="s">
        <v>7</v>
      </c>
      <c r="M17" s="4"/>
      <c r="N17" s="15" t="s">
        <v>8</v>
      </c>
      <c r="O17" s="4"/>
      <c r="P17" s="15" t="s">
        <v>9</v>
      </c>
      <c r="Q17" s="4"/>
      <c r="R17" s="15" t="s">
        <v>10</v>
      </c>
      <c r="S17" s="4"/>
      <c r="T17" s="15" t="s">
        <v>11</v>
      </c>
      <c r="U17" s="4"/>
      <c r="V17" s="15" t="s">
        <v>12</v>
      </c>
      <c r="W17" s="28"/>
      <c r="X17" s="1"/>
    </row>
    <row r="18" spans="4:25" ht="7.5" customHeight="1" x14ac:dyDescent="0.4">
      <c r="D18" s="29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2"/>
      <c r="X18" s="1"/>
    </row>
    <row r="19" spans="4:25" ht="7.5" customHeight="1" x14ac:dyDescent="0.4"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6"/>
    </row>
    <row r="20" spans="4:25" ht="52.5" customHeight="1" x14ac:dyDescent="0.4">
      <c r="D20" s="33" t="s">
        <v>1</v>
      </c>
      <c r="E20" s="2"/>
      <c r="F20" s="15" t="s">
        <v>4</v>
      </c>
      <c r="G20" s="34"/>
      <c r="H20" s="15" t="s">
        <v>5</v>
      </c>
      <c r="I20" s="34"/>
      <c r="J20" s="34"/>
      <c r="K20" s="34"/>
      <c r="L20" s="15" t="s">
        <v>7</v>
      </c>
      <c r="M20" s="34"/>
      <c r="N20" s="15" t="s">
        <v>8</v>
      </c>
      <c r="O20" s="34"/>
      <c r="P20" s="34"/>
      <c r="Q20" s="34"/>
      <c r="R20" s="34"/>
      <c r="S20" s="34"/>
      <c r="T20" s="34"/>
      <c r="U20" s="34"/>
      <c r="V20" s="34"/>
      <c r="W20" s="35"/>
      <c r="X20" s="3"/>
      <c r="Y20" s="3"/>
    </row>
    <row r="21" spans="4:25" ht="7.5" customHeight="1" x14ac:dyDescent="0.4">
      <c r="D21" s="29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2"/>
      <c r="X21" s="1"/>
    </row>
    <row r="22" spans="4:25" ht="7.5" customHeight="1" x14ac:dyDescent="0.4"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</row>
    <row r="23" spans="4:25" ht="52.5" customHeight="1" x14ac:dyDescent="0.4">
      <c r="D23" s="33" t="s">
        <v>2</v>
      </c>
      <c r="E23" s="2"/>
      <c r="F23" s="15" t="s">
        <v>4</v>
      </c>
      <c r="G23" s="34"/>
      <c r="H23" s="34"/>
      <c r="I23" s="34"/>
      <c r="J23" s="34"/>
      <c r="K23" s="34"/>
      <c r="L23" s="15" t="s">
        <v>7</v>
      </c>
      <c r="M23" s="34"/>
      <c r="N23" s="34"/>
      <c r="O23" s="34"/>
      <c r="P23" s="34"/>
      <c r="Q23" s="34"/>
      <c r="R23" s="15" t="s">
        <v>10</v>
      </c>
      <c r="S23" s="34"/>
      <c r="T23" s="34"/>
      <c r="U23" s="34"/>
      <c r="V23" s="34"/>
      <c r="W23" s="35"/>
      <c r="X23" s="3"/>
      <c r="Y23" s="3"/>
    </row>
    <row r="24" spans="4:25" ht="7.5" customHeight="1" x14ac:dyDescent="0.4">
      <c r="D24" s="29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2"/>
      <c r="X24" s="1"/>
    </row>
    <row r="25" spans="4:25" ht="7.5" customHeight="1" x14ac:dyDescent="0.4">
      <c r="D25" s="2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6"/>
    </row>
    <row r="26" spans="4:25" ht="52.5" customHeight="1" x14ac:dyDescent="0.4">
      <c r="D26" s="33" t="s">
        <v>3</v>
      </c>
      <c r="E26" s="2"/>
      <c r="F26" s="34"/>
      <c r="G26" s="34"/>
      <c r="H26" s="4"/>
      <c r="I26" s="4"/>
      <c r="J26" s="4"/>
      <c r="K26" s="34"/>
      <c r="L26" s="34"/>
      <c r="M26" s="34"/>
      <c r="N26" s="34"/>
      <c r="O26" s="34"/>
      <c r="P26" s="15" t="s">
        <v>9</v>
      </c>
      <c r="Q26" s="34"/>
      <c r="R26" s="34"/>
      <c r="S26" s="34"/>
      <c r="T26" s="34"/>
      <c r="U26" s="34"/>
      <c r="V26" s="15" t="s">
        <v>12</v>
      </c>
      <c r="W26" s="35"/>
      <c r="X26" s="3"/>
      <c r="Y26" s="3"/>
    </row>
    <row r="27" spans="4:25" ht="7.5" customHeight="1" x14ac:dyDescent="0.4">
      <c r="D27" s="36"/>
      <c r="E27" s="30"/>
      <c r="F27" s="37"/>
      <c r="G27" s="37"/>
      <c r="H27" s="31"/>
      <c r="I27" s="31"/>
      <c r="J27" s="31"/>
      <c r="K27" s="37"/>
      <c r="L27" s="37"/>
      <c r="M27" s="37"/>
      <c r="N27" s="37"/>
      <c r="O27" s="37"/>
      <c r="P27" s="31"/>
      <c r="Q27" s="37"/>
      <c r="R27" s="37"/>
      <c r="S27" s="37"/>
      <c r="T27" s="37"/>
      <c r="U27" s="37"/>
      <c r="V27" s="31"/>
      <c r="W27" s="38"/>
      <c r="X27" s="3"/>
      <c r="Y27" s="3"/>
    </row>
    <row r="28" spans="4:25" ht="7.5" customHeight="1" x14ac:dyDescent="0.4">
      <c r="D28" s="4"/>
      <c r="E28" s="2"/>
      <c r="F28" s="34"/>
      <c r="G28" s="34"/>
      <c r="H28" s="4"/>
      <c r="I28" s="4"/>
      <c r="J28" s="4"/>
      <c r="K28" s="34"/>
      <c r="L28" s="34"/>
      <c r="M28" s="34"/>
      <c r="N28" s="34"/>
      <c r="O28" s="34"/>
      <c r="P28" s="4"/>
      <c r="Q28" s="34"/>
      <c r="R28" s="34"/>
      <c r="S28" s="34"/>
      <c r="T28" s="34"/>
      <c r="U28" s="34"/>
      <c r="V28" s="4"/>
      <c r="W28" s="3"/>
      <c r="X28" s="3"/>
      <c r="Y28" s="3"/>
    </row>
    <row r="29" spans="4:25" ht="7.5" customHeight="1" x14ac:dyDescent="0.4">
      <c r="D29" s="39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9"/>
      <c r="X29" s="1"/>
    </row>
    <row r="30" spans="4:25" ht="7.5" customHeight="1" x14ac:dyDescent="0.4">
      <c r="D30" s="24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</row>
    <row r="31" spans="4:25" ht="52.5" customHeight="1" x14ac:dyDescent="0.4">
      <c r="D31" s="33" t="s">
        <v>1</v>
      </c>
      <c r="E31" s="2"/>
      <c r="F31" s="15" t="s">
        <v>4</v>
      </c>
      <c r="G31" s="34"/>
      <c r="H31" s="15" t="s">
        <v>5</v>
      </c>
      <c r="I31" s="34"/>
      <c r="J31" s="34"/>
      <c r="K31" s="34"/>
      <c r="L31" s="15" t="s">
        <v>7</v>
      </c>
      <c r="M31" s="34"/>
      <c r="N31" s="15" t="s">
        <v>8</v>
      </c>
      <c r="O31" s="34"/>
      <c r="P31" s="34"/>
      <c r="Q31" s="34"/>
      <c r="R31" s="34"/>
      <c r="S31" s="34"/>
      <c r="T31" s="34"/>
      <c r="U31" s="34"/>
      <c r="V31" s="34"/>
      <c r="W31" s="35"/>
      <c r="X31" s="3"/>
      <c r="Y31" s="3"/>
    </row>
    <row r="32" spans="4:25" ht="7.5" customHeight="1" x14ac:dyDescent="0.4">
      <c r="D32" s="29"/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2"/>
      <c r="X32" s="1"/>
    </row>
    <row r="33" spans="2:25" ht="7.5" customHeight="1" x14ac:dyDescent="0.4"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6"/>
      <c r="X33" s="1"/>
    </row>
    <row r="34" spans="2:25" ht="52.5" customHeight="1" x14ac:dyDescent="0.4">
      <c r="D34" s="33"/>
      <c r="E34" s="2"/>
      <c r="F34" s="34"/>
      <c r="G34" s="34"/>
      <c r="H34" s="34"/>
      <c r="I34" s="34"/>
      <c r="J34" s="15" t="s">
        <v>6</v>
      </c>
      <c r="K34" s="34"/>
      <c r="L34" s="34"/>
      <c r="M34" s="34"/>
      <c r="N34" s="34"/>
      <c r="O34" s="34"/>
      <c r="P34" s="15" t="s">
        <v>9</v>
      </c>
      <c r="Q34" s="34"/>
      <c r="R34" s="15" t="s">
        <v>10</v>
      </c>
      <c r="S34" s="4"/>
      <c r="T34" s="15" t="s">
        <v>11</v>
      </c>
      <c r="U34" s="4"/>
      <c r="V34" s="15" t="s">
        <v>12</v>
      </c>
      <c r="W34" s="35"/>
      <c r="X34" s="1"/>
    </row>
    <row r="35" spans="2:25" ht="7.5" customHeight="1" x14ac:dyDescent="0.4">
      <c r="D35" s="29"/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2"/>
      <c r="X35" s="3"/>
      <c r="Y35" s="3"/>
    </row>
    <row r="36" spans="2:25" ht="7.5" customHeight="1" x14ac:dyDescent="0.4">
      <c r="D36" s="1"/>
      <c r="E36" s="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  <c r="X36" s="3"/>
      <c r="Y36" s="3"/>
    </row>
    <row r="37" spans="2:25" ht="52.5" customHeight="1" x14ac:dyDescent="0.4">
      <c r="B37" s="17"/>
      <c r="D37" s="4"/>
      <c r="E37" s="2"/>
      <c r="W37" s="1"/>
      <c r="X37" s="1"/>
    </row>
    <row r="38" spans="2:25" ht="7.5" customHeight="1" x14ac:dyDescent="0.4">
      <c r="D38" s="4"/>
      <c r="E38" s="2"/>
      <c r="W38" s="1"/>
      <c r="X38" s="1"/>
    </row>
    <row r="39" spans="2:25" ht="7.5" customHeight="1" x14ac:dyDescent="0.4"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6"/>
    </row>
    <row r="40" spans="2:25" ht="52.5" customHeight="1" x14ac:dyDescent="0.4">
      <c r="D40" s="33" t="s">
        <v>1</v>
      </c>
      <c r="E40" s="2"/>
      <c r="F40" s="15" t="s">
        <v>4</v>
      </c>
      <c r="G40" s="34"/>
      <c r="H40" s="15" t="s">
        <v>5</v>
      </c>
      <c r="I40" s="34"/>
      <c r="J40" s="34"/>
      <c r="K40" s="34"/>
      <c r="L40" s="15" t="s">
        <v>7</v>
      </c>
      <c r="M40" s="34"/>
      <c r="N40" s="15" t="s">
        <v>8</v>
      </c>
      <c r="O40" s="34"/>
      <c r="P40" s="34"/>
      <c r="Q40" s="34"/>
      <c r="R40" s="34"/>
      <c r="S40" s="34"/>
      <c r="T40" s="34"/>
      <c r="U40" s="34"/>
      <c r="V40" s="34"/>
      <c r="W40" s="35"/>
      <c r="X40" s="3"/>
      <c r="Y40" s="3"/>
    </row>
    <row r="41" spans="2:25" ht="7.5" customHeight="1" x14ac:dyDescent="0.4">
      <c r="D41" s="29"/>
      <c r="E41" s="30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2"/>
      <c r="X41" s="1"/>
    </row>
    <row r="42" spans="2:25" ht="7.5" customHeight="1" x14ac:dyDescent="0.4"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</row>
    <row r="43" spans="2:25" ht="52.5" customHeight="1" x14ac:dyDescent="0.4">
      <c r="D43" s="33" t="s">
        <v>2</v>
      </c>
      <c r="E43" s="2"/>
      <c r="F43" s="15" t="s">
        <v>4</v>
      </c>
      <c r="G43" s="34"/>
      <c r="H43" s="34"/>
      <c r="I43" s="34"/>
      <c r="J43" s="34"/>
      <c r="K43" s="34"/>
      <c r="L43" s="15" t="s">
        <v>7</v>
      </c>
      <c r="M43" s="34"/>
      <c r="N43" s="34"/>
      <c r="O43" s="34"/>
      <c r="P43" s="34"/>
      <c r="Q43" s="34"/>
      <c r="R43" s="15" t="s">
        <v>10</v>
      </c>
      <c r="S43" s="34"/>
      <c r="T43" s="34"/>
      <c r="U43" s="34"/>
      <c r="V43" s="34"/>
      <c r="W43" s="35"/>
      <c r="X43" s="3"/>
      <c r="Y43" s="3"/>
    </row>
    <row r="44" spans="2:25" ht="7.5" customHeight="1" x14ac:dyDescent="0.4">
      <c r="D44" s="29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2"/>
      <c r="X44" s="1"/>
    </row>
    <row r="45" spans="2:25" ht="7.5" customHeight="1" x14ac:dyDescent="0.4">
      <c r="D45" s="24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6"/>
    </row>
    <row r="46" spans="2:25" ht="52.5" customHeight="1" x14ac:dyDescent="0.4">
      <c r="D46" s="33" t="s">
        <v>3</v>
      </c>
      <c r="E46" s="2"/>
      <c r="F46" s="34"/>
      <c r="G46" s="34"/>
      <c r="H46" s="4"/>
      <c r="I46" s="4"/>
      <c r="J46" s="4"/>
      <c r="K46" s="34"/>
      <c r="L46" s="34"/>
      <c r="M46" s="34"/>
      <c r="N46" s="34"/>
      <c r="O46" s="34"/>
      <c r="P46" s="15" t="s">
        <v>9</v>
      </c>
      <c r="Q46" s="34"/>
      <c r="R46" s="34"/>
      <c r="S46" s="34"/>
      <c r="T46" s="34"/>
      <c r="U46" s="34"/>
      <c r="V46" s="15" t="s">
        <v>12</v>
      </c>
      <c r="W46" s="35"/>
      <c r="X46" s="3"/>
      <c r="Y46" s="3"/>
    </row>
    <row r="47" spans="2:25" ht="7.5" customHeight="1" x14ac:dyDescent="0.4">
      <c r="D47" s="36"/>
      <c r="E47" s="30"/>
      <c r="F47" s="37"/>
      <c r="G47" s="37"/>
      <c r="H47" s="31"/>
      <c r="I47" s="31"/>
      <c r="J47" s="31"/>
      <c r="K47" s="37"/>
      <c r="L47" s="37"/>
      <c r="M47" s="37"/>
      <c r="N47" s="37"/>
      <c r="O47" s="37"/>
      <c r="P47" s="31"/>
      <c r="Q47" s="37"/>
      <c r="R47" s="37"/>
      <c r="S47" s="37"/>
      <c r="T47" s="37"/>
      <c r="U47" s="37"/>
      <c r="V47" s="31"/>
      <c r="W47" s="38"/>
      <c r="X47" s="3"/>
      <c r="Y47" s="3"/>
    </row>
    <row r="48" spans="2:25" ht="7.5" customHeight="1" x14ac:dyDescent="0.4">
      <c r="D48" s="24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</row>
    <row r="49" spans="4:25" ht="52.5" customHeight="1" x14ac:dyDescent="0.4">
      <c r="D49" s="33"/>
      <c r="E49" s="2"/>
      <c r="F49" s="15" t="s">
        <v>4</v>
      </c>
      <c r="G49" s="34"/>
      <c r="H49" s="34"/>
      <c r="I49" s="34"/>
      <c r="J49" s="34"/>
      <c r="K49" s="34"/>
      <c r="L49" s="15" t="s">
        <v>7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"/>
      <c r="Y49" s="3"/>
    </row>
    <row r="50" spans="4:25" ht="7.5" customHeight="1" x14ac:dyDescent="0.4">
      <c r="D50" s="29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2"/>
      <c r="X50" s="1"/>
    </row>
    <row r="51" spans="4:25" ht="7.5" customHeight="1" x14ac:dyDescent="0.4">
      <c r="D51" s="24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</row>
    <row r="52" spans="4:25" ht="52.5" customHeight="1" x14ac:dyDescent="0.4">
      <c r="D52" s="33"/>
      <c r="E52" s="2"/>
      <c r="F52" s="34"/>
      <c r="G52" s="34"/>
      <c r="H52" s="4"/>
      <c r="I52" s="4"/>
      <c r="J52" s="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5"/>
      <c r="X52" s="3"/>
      <c r="Y52" s="3"/>
    </row>
    <row r="53" spans="4:25" ht="7.5" customHeight="1" x14ac:dyDescent="0.4">
      <c r="D53" s="36"/>
      <c r="E53" s="30"/>
      <c r="F53" s="37"/>
      <c r="G53" s="37"/>
      <c r="H53" s="31"/>
      <c r="I53" s="31"/>
      <c r="J53" s="31"/>
      <c r="K53" s="37"/>
      <c r="L53" s="37"/>
      <c r="M53" s="37"/>
      <c r="N53" s="37"/>
      <c r="O53" s="37"/>
      <c r="P53" s="31"/>
      <c r="Q53" s="37"/>
      <c r="R53" s="37"/>
      <c r="S53" s="37"/>
      <c r="T53" s="37"/>
      <c r="U53" s="37"/>
      <c r="V53" s="31"/>
      <c r="W53" s="38"/>
      <c r="X53" s="3"/>
      <c r="Y53" s="3"/>
    </row>
    <row r="54" spans="4:25" ht="7.5" customHeight="1" x14ac:dyDescent="0.4">
      <c r="D54" s="24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6"/>
    </row>
    <row r="55" spans="4:25" ht="52.5" customHeight="1" x14ac:dyDescent="0.4">
      <c r="D55" s="33"/>
      <c r="E55" s="2"/>
      <c r="F55" s="34"/>
      <c r="G55" s="34"/>
      <c r="H55" s="4"/>
      <c r="I55" s="4"/>
      <c r="J55" s="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5"/>
      <c r="X55" s="3"/>
      <c r="Y55" s="3"/>
    </row>
    <row r="56" spans="4:25" ht="7.5" customHeight="1" x14ac:dyDescent="0.4">
      <c r="D56" s="36"/>
      <c r="E56" s="30"/>
      <c r="F56" s="37"/>
      <c r="G56" s="37"/>
      <c r="H56" s="31"/>
      <c r="I56" s="31"/>
      <c r="J56" s="31"/>
      <c r="K56" s="37"/>
      <c r="L56" s="37"/>
      <c r="M56" s="37"/>
      <c r="N56" s="37"/>
      <c r="O56" s="37"/>
      <c r="P56" s="31"/>
      <c r="Q56" s="37"/>
      <c r="R56" s="37"/>
      <c r="S56" s="37"/>
      <c r="T56" s="37"/>
      <c r="U56" s="37"/>
      <c r="V56" s="31"/>
      <c r="W56" s="38"/>
      <c r="X56" s="3"/>
      <c r="Y56" s="3"/>
    </row>
    <row r="57" spans="4:25" ht="7.5" customHeight="1" x14ac:dyDescent="0.4">
      <c r="D57" s="24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6"/>
    </row>
    <row r="58" spans="4:25" ht="52.5" customHeight="1" x14ac:dyDescent="0.4">
      <c r="D58" s="33"/>
      <c r="E58" s="2"/>
      <c r="F58" s="15" t="s">
        <v>4</v>
      </c>
      <c r="G58" s="34"/>
      <c r="H58" s="15" t="s">
        <v>5</v>
      </c>
      <c r="I58" s="34"/>
      <c r="J58" s="34"/>
      <c r="K58" s="34"/>
      <c r="L58" s="15" t="s">
        <v>7</v>
      </c>
      <c r="M58" s="34"/>
      <c r="N58" s="15" t="s">
        <v>8</v>
      </c>
      <c r="O58" s="34"/>
      <c r="P58" s="34"/>
      <c r="Q58" s="34"/>
      <c r="R58" s="15" t="s">
        <v>10</v>
      </c>
      <c r="S58" s="34"/>
      <c r="T58" s="34"/>
      <c r="U58" s="34"/>
      <c r="V58" s="34"/>
      <c r="W58" s="35"/>
      <c r="X58" s="3"/>
      <c r="Y58" s="3"/>
    </row>
    <row r="59" spans="4:25" ht="7.5" customHeight="1" x14ac:dyDescent="0.4">
      <c r="D59" s="29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2"/>
      <c r="X59" s="1"/>
    </row>
    <row r="60" spans="4:25" ht="7.5" customHeight="1" x14ac:dyDescent="0.4">
      <c r="D60" s="24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6"/>
    </row>
    <row r="61" spans="4:25" ht="52.5" customHeight="1" x14ac:dyDescent="0.4">
      <c r="D61" s="33"/>
      <c r="E61" s="2"/>
      <c r="F61" s="15" t="s">
        <v>4</v>
      </c>
      <c r="G61" s="34"/>
      <c r="H61" s="15" t="s">
        <v>5</v>
      </c>
      <c r="I61" s="34"/>
      <c r="J61" s="34"/>
      <c r="K61" s="34"/>
      <c r="L61" s="15" t="s">
        <v>7</v>
      </c>
      <c r="M61" s="34"/>
      <c r="N61" s="15" t="s">
        <v>8</v>
      </c>
      <c r="O61" s="34"/>
      <c r="P61" s="15" t="s">
        <v>9</v>
      </c>
      <c r="Q61" s="34"/>
      <c r="R61" s="34"/>
      <c r="S61" s="34"/>
      <c r="T61" s="34"/>
      <c r="U61" s="34"/>
      <c r="V61" s="15" t="s">
        <v>12</v>
      </c>
      <c r="W61" s="35"/>
      <c r="X61" s="3"/>
      <c r="Y61" s="3"/>
    </row>
    <row r="62" spans="4:25" ht="7.5" customHeight="1" x14ac:dyDescent="0.4">
      <c r="D62" s="36"/>
      <c r="E62" s="30"/>
      <c r="F62" s="37"/>
      <c r="G62" s="37"/>
      <c r="H62" s="31"/>
      <c r="I62" s="31"/>
      <c r="J62" s="31"/>
      <c r="K62" s="37"/>
      <c r="L62" s="37"/>
      <c r="M62" s="37"/>
      <c r="N62" s="37"/>
      <c r="O62" s="37"/>
      <c r="P62" s="31"/>
      <c r="Q62" s="37"/>
      <c r="R62" s="37"/>
      <c r="S62" s="37"/>
      <c r="T62" s="37"/>
      <c r="U62" s="37"/>
      <c r="V62" s="31"/>
      <c r="W62" s="38"/>
      <c r="X62" s="3"/>
      <c r="Y62" s="3"/>
    </row>
    <row r="63" spans="4:25" ht="7.5" customHeight="1" x14ac:dyDescent="0.4">
      <c r="D63" s="24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6"/>
    </row>
    <row r="64" spans="4:25" ht="52.5" customHeight="1" x14ac:dyDescent="0.4">
      <c r="D64" s="33"/>
      <c r="E64" s="2"/>
      <c r="F64" s="15" t="s">
        <v>4</v>
      </c>
      <c r="G64" s="34"/>
      <c r="H64" s="34"/>
      <c r="I64" s="34"/>
      <c r="J64" s="34"/>
      <c r="K64" s="34"/>
      <c r="L64" s="15" t="s">
        <v>7</v>
      </c>
      <c r="M64" s="34"/>
      <c r="N64" s="34"/>
      <c r="O64" s="34"/>
      <c r="P64" s="15" t="s">
        <v>9</v>
      </c>
      <c r="Q64" s="34"/>
      <c r="R64" s="15" t="s">
        <v>10</v>
      </c>
      <c r="S64" s="34"/>
      <c r="T64" s="34"/>
      <c r="U64" s="34"/>
      <c r="V64" s="15" t="s">
        <v>12</v>
      </c>
      <c r="W64" s="35"/>
      <c r="X64" s="3"/>
      <c r="Y64" s="3"/>
    </row>
    <row r="65" spans="4:49" ht="7.5" customHeight="1" x14ac:dyDescent="0.4">
      <c r="D65" s="36"/>
      <c r="E65" s="30"/>
      <c r="F65" s="37"/>
      <c r="G65" s="37"/>
      <c r="H65" s="31"/>
      <c r="I65" s="31"/>
      <c r="J65" s="31"/>
      <c r="K65" s="37"/>
      <c r="L65" s="37"/>
      <c r="M65" s="37"/>
      <c r="N65" s="37"/>
      <c r="O65" s="37"/>
      <c r="P65" s="31"/>
      <c r="Q65" s="37"/>
      <c r="R65" s="37"/>
      <c r="S65" s="37"/>
      <c r="T65" s="37"/>
      <c r="U65" s="37"/>
      <c r="V65" s="31"/>
      <c r="W65" s="38"/>
      <c r="X65" s="3"/>
      <c r="Y65" s="3"/>
    </row>
    <row r="66" spans="4:49" ht="7.5" customHeight="1" x14ac:dyDescent="0.4"/>
    <row r="67" spans="4:49" ht="52.5" customHeight="1" x14ac:dyDescent="0.4">
      <c r="D67" s="4"/>
      <c r="E67" s="2"/>
      <c r="V67" s="3"/>
      <c r="W67" s="3"/>
      <c r="X67" s="3"/>
      <c r="Y67" s="40"/>
      <c r="AB67" s="4"/>
      <c r="AH67" s="40"/>
      <c r="AJ67" s="4"/>
      <c r="AL67" s="4"/>
      <c r="AP67" s="4"/>
    </row>
    <row r="68" spans="4:49" ht="47.25" customHeight="1" x14ac:dyDescent="0.4"/>
    <row r="69" spans="4:49" ht="54" customHeight="1" x14ac:dyDescent="0.4">
      <c r="AA69" s="15" t="s">
        <v>4</v>
      </c>
      <c r="AB69" s="15" t="s">
        <v>5</v>
      </c>
      <c r="AC69" s="15" t="s">
        <v>6</v>
      </c>
      <c r="AE69" s="41" t="s">
        <v>4</v>
      </c>
      <c r="AF69" s="41" t="s">
        <v>5</v>
      </c>
      <c r="AG69" s="41" t="s">
        <v>6</v>
      </c>
      <c r="AI69" s="15" t="s">
        <v>4</v>
      </c>
      <c r="AJ69" s="15" t="s">
        <v>5</v>
      </c>
      <c r="AK69" s="41" t="s">
        <v>6</v>
      </c>
      <c r="AM69" s="15" t="s">
        <v>4</v>
      </c>
      <c r="AN69" s="15" t="s">
        <v>5</v>
      </c>
      <c r="AO69" s="15" t="s">
        <v>6</v>
      </c>
      <c r="AQ69" s="41" t="s">
        <v>4</v>
      </c>
      <c r="AR69" s="41" t="s">
        <v>5</v>
      </c>
      <c r="AS69" s="41" t="s">
        <v>6</v>
      </c>
      <c r="AU69" s="15" t="s">
        <v>4</v>
      </c>
      <c r="AV69" s="15" t="s">
        <v>5</v>
      </c>
      <c r="AW69" s="15" t="s">
        <v>6</v>
      </c>
    </row>
    <row r="70" spans="4:49" ht="54" customHeight="1" x14ac:dyDescent="0.4">
      <c r="AA70" s="15" t="s">
        <v>7</v>
      </c>
      <c r="AB70" s="15" t="s">
        <v>8</v>
      </c>
      <c r="AC70" s="15" t="s">
        <v>9</v>
      </c>
      <c r="AE70" s="41" t="s">
        <v>7</v>
      </c>
      <c r="AF70" s="41" t="s">
        <v>8</v>
      </c>
      <c r="AG70" s="41" t="s">
        <v>9</v>
      </c>
      <c r="AI70" s="15" t="s">
        <v>7</v>
      </c>
      <c r="AJ70" s="15" t="s">
        <v>8</v>
      </c>
      <c r="AK70" s="41" t="s">
        <v>9</v>
      </c>
      <c r="AM70" s="41" t="s">
        <v>7</v>
      </c>
      <c r="AN70" s="41" t="s">
        <v>8</v>
      </c>
      <c r="AO70" s="41" t="s">
        <v>9</v>
      </c>
      <c r="AQ70" s="41" t="s">
        <v>7</v>
      </c>
      <c r="AR70" s="41" t="s">
        <v>8</v>
      </c>
      <c r="AS70" s="15" t="s">
        <v>9</v>
      </c>
      <c r="AU70" s="15" t="s">
        <v>7</v>
      </c>
      <c r="AV70" s="15" t="s">
        <v>8</v>
      </c>
      <c r="AW70" s="15" t="s">
        <v>9</v>
      </c>
    </row>
    <row r="71" spans="4:49" ht="54" customHeight="1" x14ac:dyDescent="0.4">
      <c r="AA71" s="15" t="s">
        <v>10</v>
      </c>
      <c r="AB71" s="15" t="s">
        <v>11</v>
      </c>
      <c r="AC71" s="15" t="s">
        <v>12</v>
      </c>
      <c r="AE71" s="41" t="s">
        <v>10</v>
      </c>
      <c r="AF71" s="41" t="s">
        <v>11</v>
      </c>
      <c r="AG71" s="41" t="s">
        <v>12</v>
      </c>
      <c r="AI71" s="41" t="s">
        <v>10</v>
      </c>
      <c r="AJ71" s="41" t="s">
        <v>11</v>
      </c>
      <c r="AK71" s="41" t="s">
        <v>12</v>
      </c>
      <c r="AM71" s="41" t="s">
        <v>10</v>
      </c>
      <c r="AN71" s="41" t="s">
        <v>11</v>
      </c>
      <c r="AO71" s="41" t="s">
        <v>12</v>
      </c>
      <c r="AQ71" s="41" t="s">
        <v>10</v>
      </c>
      <c r="AR71" s="41" t="s">
        <v>11</v>
      </c>
      <c r="AS71" s="15" t="s">
        <v>12</v>
      </c>
      <c r="AU71" s="15" t="s">
        <v>10</v>
      </c>
      <c r="AV71" s="15" t="s">
        <v>11</v>
      </c>
      <c r="AW71" s="15" t="s">
        <v>12</v>
      </c>
    </row>
    <row r="72" spans="4:49" ht="20.25" x14ac:dyDescent="0.4">
      <c r="AH72" s="40"/>
      <c r="AT72" s="17"/>
    </row>
    <row r="73" spans="4:49" ht="47.25" customHeight="1" x14ac:dyDescent="0.4"/>
    <row r="74" spans="4:49" ht="54" customHeight="1" x14ac:dyDescent="0.4">
      <c r="AA74" s="15" t="s">
        <v>4</v>
      </c>
      <c r="AB74" s="15" t="s">
        <v>5</v>
      </c>
      <c r="AC74" s="15" t="s">
        <v>6</v>
      </c>
      <c r="AE74" s="15" t="s">
        <v>4</v>
      </c>
      <c r="AF74" s="15" t="s">
        <v>5</v>
      </c>
      <c r="AG74" s="15" t="s">
        <v>6</v>
      </c>
      <c r="AI74" s="15" t="s">
        <v>4</v>
      </c>
      <c r="AJ74" s="15" t="s">
        <v>5</v>
      </c>
      <c r="AK74" s="41" t="s">
        <v>6</v>
      </c>
      <c r="AM74" s="41" t="s">
        <v>4</v>
      </c>
      <c r="AN74" s="41" t="s">
        <v>5</v>
      </c>
      <c r="AO74" s="41" t="s">
        <v>6</v>
      </c>
      <c r="AQ74" s="41" t="s">
        <v>4</v>
      </c>
      <c r="AR74" s="41" t="s">
        <v>5</v>
      </c>
      <c r="AS74" s="41" t="s">
        <v>6</v>
      </c>
      <c r="AU74" s="15" t="s">
        <v>4</v>
      </c>
      <c r="AV74" s="15" t="s">
        <v>5</v>
      </c>
      <c r="AW74" s="15" t="s">
        <v>6</v>
      </c>
    </row>
    <row r="75" spans="4:49" ht="54" customHeight="1" x14ac:dyDescent="0.4">
      <c r="AA75" s="15" t="s">
        <v>7</v>
      </c>
      <c r="AB75" s="15" t="s">
        <v>8</v>
      </c>
      <c r="AC75" s="15" t="s">
        <v>9</v>
      </c>
      <c r="AE75" s="15" t="s">
        <v>7</v>
      </c>
      <c r="AF75" s="15" t="s">
        <v>8</v>
      </c>
      <c r="AG75" s="15" t="s">
        <v>9</v>
      </c>
      <c r="AI75" s="41" t="s">
        <v>7</v>
      </c>
      <c r="AJ75" s="41" t="s">
        <v>8</v>
      </c>
      <c r="AK75" s="41" t="s">
        <v>9</v>
      </c>
      <c r="AM75" s="41" t="s">
        <v>7</v>
      </c>
      <c r="AN75" s="41" t="s">
        <v>8</v>
      </c>
      <c r="AO75" s="41" t="s">
        <v>9</v>
      </c>
      <c r="AQ75" s="41" t="s">
        <v>7</v>
      </c>
      <c r="AR75" s="41" t="s">
        <v>8</v>
      </c>
      <c r="AS75" s="41" t="s">
        <v>9</v>
      </c>
      <c r="AU75" s="15" t="s">
        <v>7</v>
      </c>
      <c r="AV75" s="15" t="s">
        <v>8</v>
      </c>
      <c r="AW75" s="15" t="s">
        <v>9</v>
      </c>
    </row>
    <row r="76" spans="4:49" ht="54" customHeight="1" x14ac:dyDescent="0.4">
      <c r="AA76" s="15" t="s">
        <v>10</v>
      </c>
      <c r="AB76" s="15" t="s">
        <v>11</v>
      </c>
      <c r="AC76" s="15" t="s">
        <v>12</v>
      </c>
      <c r="AE76" s="15" t="s">
        <v>10</v>
      </c>
      <c r="AF76" s="15" t="s">
        <v>11</v>
      </c>
      <c r="AG76" s="15" t="s">
        <v>12</v>
      </c>
      <c r="AI76" s="41" t="s">
        <v>10</v>
      </c>
      <c r="AJ76" s="41" t="s">
        <v>11</v>
      </c>
      <c r="AK76" s="41" t="s">
        <v>12</v>
      </c>
      <c r="AM76" s="41" t="s">
        <v>10</v>
      </c>
      <c r="AN76" s="41" t="s">
        <v>11</v>
      </c>
      <c r="AO76" s="41" t="s">
        <v>12</v>
      </c>
      <c r="AQ76" s="41" t="s">
        <v>10</v>
      </c>
      <c r="AR76" s="41" t="s">
        <v>11</v>
      </c>
      <c r="AS76" s="41" t="s">
        <v>12</v>
      </c>
      <c r="AU76" s="15" t="s">
        <v>10</v>
      </c>
      <c r="AV76" s="15" t="s">
        <v>11</v>
      </c>
      <c r="AW76" s="15" t="s">
        <v>12</v>
      </c>
    </row>
    <row r="77" spans="4:49" x14ac:dyDescent="0.4">
      <c r="Z77" s="17"/>
    </row>
    <row r="78" spans="4:49" ht="47.25" customHeight="1" x14ac:dyDescent="0.4"/>
    <row r="79" spans="4:49" ht="54" customHeight="1" x14ac:dyDescent="0.4">
      <c r="AA79" s="15" t="s">
        <v>4</v>
      </c>
      <c r="AB79" s="15" t="s">
        <v>5</v>
      </c>
      <c r="AC79" s="41" t="s">
        <v>6</v>
      </c>
      <c r="AE79" s="41" t="s">
        <v>4</v>
      </c>
      <c r="AF79" s="41" t="s">
        <v>5</v>
      </c>
      <c r="AG79" s="15" t="s">
        <v>6</v>
      </c>
      <c r="AI79" s="15" t="s">
        <v>4</v>
      </c>
      <c r="AJ79" s="15" t="s">
        <v>5</v>
      </c>
      <c r="AK79" s="15" t="s">
        <v>6</v>
      </c>
      <c r="AM79" s="15" t="s">
        <v>4</v>
      </c>
      <c r="AN79" s="15" t="s">
        <v>5</v>
      </c>
      <c r="AO79" s="41" t="s">
        <v>6</v>
      </c>
      <c r="AQ79" s="15" t="s">
        <v>4</v>
      </c>
      <c r="AR79" s="15" t="s">
        <v>5</v>
      </c>
      <c r="AS79" s="15" t="s">
        <v>6</v>
      </c>
      <c r="AU79" s="15" t="s">
        <v>4</v>
      </c>
      <c r="AV79" s="15" t="s">
        <v>5</v>
      </c>
      <c r="AW79" s="15" t="s">
        <v>6</v>
      </c>
    </row>
    <row r="80" spans="4:49" ht="54" customHeight="1" x14ac:dyDescent="0.4">
      <c r="AA80" s="15" t="s">
        <v>7</v>
      </c>
      <c r="AB80" s="15" t="s">
        <v>8</v>
      </c>
      <c r="AC80" s="41" t="s">
        <v>9</v>
      </c>
      <c r="AE80" s="41" t="s">
        <v>7</v>
      </c>
      <c r="AF80" s="41" t="s">
        <v>8</v>
      </c>
      <c r="AG80" s="15" t="s">
        <v>9</v>
      </c>
      <c r="AI80" s="15" t="s">
        <v>7</v>
      </c>
      <c r="AJ80" s="15" t="s">
        <v>8</v>
      </c>
      <c r="AK80" s="41" t="s">
        <v>9</v>
      </c>
      <c r="AM80" s="15" t="s">
        <v>7</v>
      </c>
      <c r="AN80" s="15" t="s">
        <v>8</v>
      </c>
      <c r="AO80" s="15" t="s">
        <v>9</v>
      </c>
      <c r="AQ80" s="41" t="s">
        <v>7</v>
      </c>
      <c r="AR80" s="41" t="s">
        <v>8</v>
      </c>
      <c r="AS80" s="15" t="s">
        <v>9</v>
      </c>
      <c r="AU80" s="15" t="s">
        <v>7</v>
      </c>
      <c r="AV80" s="15" t="s">
        <v>8</v>
      </c>
      <c r="AW80" s="15" t="s">
        <v>9</v>
      </c>
    </row>
    <row r="81" spans="26:49" ht="54" customHeight="1" x14ac:dyDescent="0.4">
      <c r="AA81" s="41" t="s">
        <v>10</v>
      </c>
      <c r="AB81" s="41" t="s">
        <v>11</v>
      </c>
      <c r="AC81" s="41" t="s">
        <v>12</v>
      </c>
      <c r="AE81" s="15" t="s">
        <v>10</v>
      </c>
      <c r="AF81" s="15" t="s">
        <v>11</v>
      </c>
      <c r="AG81" s="15" t="s">
        <v>12</v>
      </c>
      <c r="AI81" s="41" t="s">
        <v>10</v>
      </c>
      <c r="AJ81" s="41" t="s">
        <v>11</v>
      </c>
      <c r="AK81" s="41" t="s">
        <v>12</v>
      </c>
      <c r="AM81" s="41" t="s">
        <v>10</v>
      </c>
      <c r="AN81" s="41" t="s">
        <v>11</v>
      </c>
      <c r="AO81" s="15" t="s">
        <v>12</v>
      </c>
      <c r="AQ81" s="41" t="s">
        <v>10</v>
      </c>
      <c r="AR81" s="41" t="s">
        <v>11</v>
      </c>
      <c r="AS81" s="15" t="s">
        <v>12</v>
      </c>
      <c r="AU81" s="15" t="s">
        <v>10</v>
      </c>
      <c r="AV81" s="15" t="s">
        <v>11</v>
      </c>
      <c r="AW81" s="15" t="s">
        <v>12</v>
      </c>
    </row>
    <row r="82" spans="26:49" x14ac:dyDescent="0.4">
      <c r="AL82" s="17"/>
    </row>
    <row r="83" spans="26:49" x14ac:dyDescent="0.4">
      <c r="Z83" s="17"/>
    </row>
    <row r="84" spans="26:49" ht="47.25" customHeight="1" x14ac:dyDescent="0.4">
      <c r="AA84" s="46"/>
      <c r="AB84" s="46"/>
      <c r="AC84" s="46"/>
    </row>
    <row r="85" spans="26:49" ht="54" customHeight="1" x14ac:dyDescent="0.4">
      <c r="AA85" s="15" t="s">
        <v>4</v>
      </c>
      <c r="AB85" s="15" t="s">
        <v>5</v>
      </c>
      <c r="AC85" s="42" t="s">
        <v>6</v>
      </c>
      <c r="AE85" s="15" t="s">
        <v>4</v>
      </c>
      <c r="AF85" s="15" t="s">
        <v>5</v>
      </c>
      <c r="AG85" s="42" t="s">
        <v>6</v>
      </c>
      <c r="AI85" s="41" t="s">
        <v>4</v>
      </c>
      <c r="AJ85" s="41" t="s">
        <v>5</v>
      </c>
      <c r="AK85" s="42" t="s">
        <v>6</v>
      </c>
      <c r="AM85" s="15" t="s">
        <v>4</v>
      </c>
      <c r="AN85" s="15" t="s">
        <v>5</v>
      </c>
      <c r="AO85" s="41" t="s">
        <v>6</v>
      </c>
      <c r="AQ85" s="15" t="s">
        <v>4</v>
      </c>
      <c r="AR85" s="15" t="s">
        <v>5</v>
      </c>
      <c r="AS85" s="15" t="s">
        <v>6</v>
      </c>
      <c r="AU85" s="15" t="s">
        <v>4</v>
      </c>
      <c r="AV85" s="15" t="s">
        <v>5</v>
      </c>
      <c r="AW85" s="15" t="s">
        <v>6</v>
      </c>
    </row>
    <row r="86" spans="26:49" ht="54" customHeight="1" x14ac:dyDescent="0.4">
      <c r="AA86" s="15" t="s">
        <v>7</v>
      </c>
      <c r="AB86" s="15" t="s">
        <v>8</v>
      </c>
      <c r="AC86" s="42" t="s">
        <v>9</v>
      </c>
      <c r="AE86" s="41" t="s">
        <v>7</v>
      </c>
      <c r="AF86" s="41" t="s">
        <v>8</v>
      </c>
      <c r="AG86" s="42" t="s">
        <v>9</v>
      </c>
      <c r="AI86" s="41" t="s">
        <v>7</v>
      </c>
      <c r="AJ86" s="41" t="s">
        <v>8</v>
      </c>
      <c r="AK86" s="42" t="s">
        <v>9</v>
      </c>
      <c r="AM86" s="15" t="s">
        <v>7</v>
      </c>
      <c r="AN86" s="15" t="s">
        <v>8</v>
      </c>
      <c r="AO86" s="15" t="s">
        <v>9</v>
      </c>
      <c r="AQ86" s="41" t="s">
        <v>7</v>
      </c>
      <c r="AR86" s="41" t="s">
        <v>8</v>
      </c>
      <c r="AS86" s="15" t="s">
        <v>9</v>
      </c>
      <c r="AU86" s="15" t="s">
        <v>7</v>
      </c>
      <c r="AV86" s="15" t="s">
        <v>8</v>
      </c>
      <c r="AW86" s="15" t="s">
        <v>9</v>
      </c>
    </row>
    <row r="87" spans="26:49" ht="54" customHeight="1" x14ac:dyDescent="0.4">
      <c r="AA87" s="42" t="s">
        <v>10</v>
      </c>
      <c r="AB87" s="42" t="s">
        <v>11</v>
      </c>
      <c r="AC87" s="42" t="s">
        <v>12</v>
      </c>
      <c r="AE87" s="42" t="s">
        <v>10</v>
      </c>
      <c r="AF87" s="42" t="s">
        <v>11</v>
      </c>
      <c r="AG87" s="42" t="s">
        <v>12</v>
      </c>
      <c r="AI87" s="42" t="s">
        <v>10</v>
      </c>
      <c r="AJ87" s="42" t="s">
        <v>11</v>
      </c>
      <c r="AK87" s="42" t="s">
        <v>12</v>
      </c>
      <c r="AM87" s="41" t="s">
        <v>10</v>
      </c>
      <c r="AN87" s="41" t="s">
        <v>11</v>
      </c>
      <c r="AO87" s="15" t="s">
        <v>12</v>
      </c>
      <c r="AQ87" s="41" t="s">
        <v>10</v>
      </c>
      <c r="AR87" s="41" t="s">
        <v>11</v>
      </c>
      <c r="AS87" s="15" t="s">
        <v>12</v>
      </c>
      <c r="AU87" s="15" t="s">
        <v>10</v>
      </c>
      <c r="AV87" s="15" t="s">
        <v>11</v>
      </c>
      <c r="AW87" s="15" t="s">
        <v>12</v>
      </c>
    </row>
    <row r="89" spans="26:49" ht="47.25" customHeight="1" x14ac:dyDescent="0.4">
      <c r="AA89" s="46"/>
      <c r="AB89" s="46"/>
      <c r="AC89" s="46"/>
    </row>
    <row r="90" spans="26:49" ht="54" customHeight="1" x14ac:dyDescent="0.4">
      <c r="AA90" s="15" t="s">
        <v>4</v>
      </c>
      <c r="AB90" s="15" t="s">
        <v>5</v>
      </c>
      <c r="AC90" s="15" t="s">
        <v>6</v>
      </c>
      <c r="AE90" s="15" t="s">
        <v>4</v>
      </c>
      <c r="AF90" s="15" t="s">
        <v>5</v>
      </c>
      <c r="AG90" s="41" t="s">
        <v>6</v>
      </c>
      <c r="AI90" s="41" t="s">
        <v>4</v>
      </c>
      <c r="AJ90" s="41" t="s">
        <v>5</v>
      </c>
      <c r="AK90" s="41" t="s">
        <v>6</v>
      </c>
      <c r="AM90" s="15" t="s">
        <v>4</v>
      </c>
      <c r="AN90" s="15" t="s">
        <v>5</v>
      </c>
      <c r="AO90" s="41" t="s">
        <v>6</v>
      </c>
      <c r="AQ90" s="15" t="s">
        <v>4</v>
      </c>
      <c r="AR90" s="15" t="s">
        <v>5</v>
      </c>
      <c r="AS90" s="15" t="s">
        <v>6</v>
      </c>
      <c r="AU90" s="15" t="s">
        <v>4</v>
      </c>
      <c r="AV90" s="15" t="s">
        <v>5</v>
      </c>
      <c r="AW90" s="15" t="s">
        <v>6</v>
      </c>
    </row>
    <row r="91" spans="26:49" ht="54" customHeight="1" x14ac:dyDescent="0.4">
      <c r="AA91" s="43" t="s">
        <v>7</v>
      </c>
      <c r="AB91" s="43" t="s">
        <v>8</v>
      </c>
      <c r="AC91" s="42" t="s">
        <v>9</v>
      </c>
      <c r="AE91" s="43" t="s">
        <v>7</v>
      </c>
      <c r="AF91" s="43" t="s">
        <v>8</v>
      </c>
      <c r="AG91" s="42" t="s">
        <v>9</v>
      </c>
      <c r="AI91" s="43" t="s">
        <v>7</v>
      </c>
      <c r="AJ91" s="43" t="s">
        <v>8</v>
      </c>
      <c r="AK91" s="42" t="s">
        <v>9</v>
      </c>
      <c r="AM91" s="15" t="s">
        <v>7</v>
      </c>
      <c r="AN91" s="15" t="s">
        <v>8</v>
      </c>
      <c r="AO91" s="15" t="s">
        <v>9</v>
      </c>
      <c r="AQ91" s="41" t="s">
        <v>7</v>
      </c>
      <c r="AR91" s="41" t="s">
        <v>8</v>
      </c>
      <c r="AS91" s="15" t="s">
        <v>9</v>
      </c>
      <c r="AU91" s="15" t="s">
        <v>7</v>
      </c>
      <c r="AV91" s="15" t="s">
        <v>8</v>
      </c>
      <c r="AW91" s="15" t="s">
        <v>9</v>
      </c>
    </row>
    <row r="92" spans="26:49" ht="54" customHeight="1" x14ac:dyDescent="0.4">
      <c r="AA92" s="42" t="s">
        <v>10</v>
      </c>
      <c r="AB92" s="42" t="s">
        <v>11</v>
      </c>
      <c r="AC92" s="42" t="s">
        <v>12</v>
      </c>
      <c r="AE92" s="42" t="s">
        <v>10</v>
      </c>
      <c r="AF92" s="42" t="s">
        <v>11</v>
      </c>
      <c r="AG92" s="42" t="s">
        <v>12</v>
      </c>
      <c r="AI92" s="42" t="s">
        <v>10</v>
      </c>
      <c r="AJ92" s="42" t="s">
        <v>11</v>
      </c>
      <c r="AK92" s="42" t="s">
        <v>12</v>
      </c>
      <c r="AM92" s="41" t="s">
        <v>10</v>
      </c>
      <c r="AN92" s="41" t="s">
        <v>11</v>
      </c>
      <c r="AO92" s="15" t="s">
        <v>12</v>
      </c>
      <c r="AQ92" s="41" t="s">
        <v>10</v>
      </c>
      <c r="AR92" s="41" t="s">
        <v>11</v>
      </c>
      <c r="AS92" s="15" t="s">
        <v>12</v>
      </c>
      <c r="AU92" s="15" t="s">
        <v>10</v>
      </c>
      <c r="AV92" s="15" t="s">
        <v>11</v>
      </c>
      <c r="AW92" s="15" t="s">
        <v>12</v>
      </c>
    </row>
    <row r="93" spans="26:49" x14ac:dyDescent="0.4">
      <c r="AL93" s="17"/>
    </row>
    <row r="94" spans="26:49" x14ac:dyDescent="0.4">
      <c r="Z94" s="17"/>
    </row>
    <row r="95" spans="26:49" ht="47.25" customHeight="1" x14ac:dyDescent="0.4"/>
    <row r="96" spans="26:49" ht="54" customHeight="1" x14ac:dyDescent="0.4">
      <c r="AA96" s="15" t="s">
        <v>4</v>
      </c>
      <c r="AB96" s="15" t="s">
        <v>5</v>
      </c>
      <c r="AC96" s="41" t="s">
        <v>6</v>
      </c>
      <c r="AE96" s="15" t="s">
        <v>4</v>
      </c>
      <c r="AF96" s="15" t="s">
        <v>5</v>
      </c>
      <c r="AG96" s="41" t="s">
        <v>6</v>
      </c>
      <c r="AI96" s="15" t="s">
        <v>4</v>
      </c>
      <c r="AJ96" s="15" t="s">
        <v>5</v>
      </c>
      <c r="AK96" s="41" t="s">
        <v>6</v>
      </c>
      <c r="AM96" s="15" t="s">
        <v>4</v>
      </c>
      <c r="AN96" s="15" t="s">
        <v>5</v>
      </c>
      <c r="AO96" s="15" t="s">
        <v>6</v>
      </c>
      <c r="AQ96" s="41" t="s">
        <v>4</v>
      </c>
      <c r="AR96" s="41" t="s">
        <v>5</v>
      </c>
      <c r="AS96" s="41" t="s">
        <v>6</v>
      </c>
      <c r="AU96" s="15" t="s">
        <v>4</v>
      </c>
      <c r="AV96" s="15" t="s">
        <v>5</v>
      </c>
      <c r="AW96" s="15" t="s">
        <v>6</v>
      </c>
    </row>
    <row r="97" spans="27:49" ht="54" customHeight="1" x14ac:dyDescent="0.4">
      <c r="AA97" s="15" t="s">
        <v>7</v>
      </c>
      <c r="AB97" s="15" t="s">
        <v>8</v>
      </c>
      <c r="AC97" s="41" t="s">
        <v>9</v>
      </c>
      <c r="AE97" s="43" t="s">
        <v>7</v>
      </c>
      <c r="AF97" s="43" t="s">
        <v>8</v>
      </c>
      <c r="AG97" s="42" t="s">
        <v>9</v>
      </c>
      <c r="AI97" s="41" t="s">
        <v>7</v>
      </c>
      <c r="AJ97" s="41" t="s">
        <v>8</v>
      </c>
      <c r="AK97" s="41" t="s">
        <v>9</v>
      </c>
      <c r="AM97" s="41" t="s">
        <v>7</v>
      </c>
      <c r="AN97" s="41" t="s">
        <v>8</v>
      </c>
      <c r="AO97" s="41" t="s">
        <v>9</v>
      </c>
      <c r="AQ97" s="41" t="s">
        <v>7</v>
      </c>
      <c r="AR97" s="41" t="s">
        <v>8</v>
      </c>
      <c r="AS97" s="15" t="s">
        <v>9</v>
      </c>
      <c r="AU97" s="15" t="s">
        <v>7</v>
      </c>
      <c r="AV97" s="15" t="s">
        <v>8</v>
      </c>
      <c r="AW97" s="15" t="s">
        <v>9</v>
      </c>
    </row>
    <row r="98" spans="27:49" ht="54" customHeight="1" x14ac:dyDescent="0.4">
      <c r="AA98" s="15" t="s">
        <v>10</v>
      </c>
      <c r="AB98" s="15" t="s">
        <v>11</v>
      </c>
      <c r="AC98" s="41" t="s">
        <v>12</v>
      </c>
      <c r="AE98" s="42" t="s">
        <v>10</v>
      </c>
      <c r="AF98" s="42" t="s">
        <v>11</v>
      </c>
      <c r="AG98" s="42" t="s">
        <v>12</v>
      </c>
      <c r="AI98" s="41" t="s">
        <v>10</v>
      </c>
      <c r="AJ98" s="41" t="s">
        <v>11</v>
      </c>
      <c r="AK98" s="41" t="s">
        <v>12</v>
      </c>
      <c r="AM98" s="41" t="s">
        <v>10</v>
      </c>
      <c r="AN98" s="41" t="s">
        <v>11</v>
      </c>
      <c r="AO98" s="41" t="s">
        <v>12</v>
      </c>
      <c r="AQ98" s="41" t="s">
        <v>10</v>
      </c>
      <c r="AR98" s="41" t="s">
        <v>11</v>
      </c>
      <c r="AS98" s="15" t="s">
        <v>12</v>
      </c>
      <c r="AU98" s="15" t="s">
        <v>10</v>
      </c>
      <c r="AV98" s="15" t="s">
        <v>11</v>
      </c>
      <c r="AW98" s="15" t="s">
        <v>12</v>
      </c>
    </row>
    <row r="100" spans="27:49" ht="47.25" customHeight="1" x14ac:dyDescent="0.4"/>
    <row r="101" spans="27:49" ht="54" customHeight="1" x14ac:dyDescent="0.4">
      <c r="AA101" s="15" t="s">
        <v>4</v>
      </c>
      <c r="AB101" s="15" t="s">
        <v>5</v>
      </c>
      <c r="AC101" s="15" t="s">
        <v>6</v>
      </c>
      <c r="AE101" s="15" t="s">
        <v>4</v>
      </c>
      <c r="AF101" s="15" t="s">
        <v>5</v>
      </c>
      <c r="AG101" s="42" t="s">
        <v>6</v>
      </c>
      <c r="AM101" s="15" t="s">
        <v>4</v>
      </c>
      <c r="AN101" s="15" t="s">
        <v>5</v>
      </c>
      <c r="AO101" s="15" t="s">
        <v>6</v>
      </c>
      <c r="AQ101" s="41" t="s">
        <v>4</v>
      </c>
      <c r="AR101" s="41" t="s">
        <v>5</v>
      </c>
      <c r="AS101" s="41" t="s">
        <v>6</v>
      </c>
      <c r="AU101" s="15" t="s">
        <v>4</v>
      </c>
      <c r="AV101" s="15" t="s">
        <v>5</v>
      </c>
      <c r="AW101" s="15" t="s">
        <v>6</v>
      </c>
    </row>
    <row r="102" spans="27:49" ht="54" customHeight="1" x14ac:dyDescent="0.4">
      <c r="AA102" s="41" t="s">
        <v>7</v>
      </c>
      <c r="AB102" s="41" t="s">
        <v>8</v>
      </c>
      <c r="AC102" s="41" t="s">
        <v>9</v>
      </c>
      <c r="AE102" s="41" t="s">
        <v>7</v>
      </c>
      <c r="AF102" s="41" t="s">
        <v>8</v>
      </c>
      <c r="AG102" s="42" t="s">
        <v>9</v>
      </c>
      <c r="AM102" s="41" t="s">
        <v>7</v>
      </c>
      <c r="AN102" s="41" t="s">
        <v>8</v>
      </c>
      <c r="AO102" s="41" t="s">
        <v>9</v>
      </c>
      <c r="AQ102" s="41" t="s">
        <v>7</v>
      </c>
      <c r="AR102" s="41" t="s">
        <v>8</v>
      </c>
      <c r="AS102" s="15" t="s">
        <v>9</v>
      </c>
      <c r="AU102" s="15" t="s">
        <v>7</v>
      </c>
      <c r="AV102" s="15" t="s">
        <v>8</v>
      </c>
      <c r="AW102" s="15" t="s">
        <v>9</v>
      </c>
    </row>
    <row r="103" spans="27:49" ht="54" customHeight="1" x14ac:dyDescent="0.4">
      <c r="AA103" s="41" t="s">
        <v>10</v>
      </c>
      <c r="AB103" s="41" t="s">
        <v>11</v>
      </c>
      <c r="AC103" s="41" t="s">
        <v>12</v>
      </c>
      <c r="AE103" s="41" t="s">
        <v>10</v>
      </c>
      <c r="AF103" s="41" t="s">
        <v>11</v>
      </c>
      <c r="AG103" s="42" t="s">
        <v>12</v>
      </c>
      <c r="AM103" s="41" t="s">
        <v>10</v>
      </c>
      <c r="AN103" s="41" t="s">
        <v>11</v>
      </c>
      <c r="AO103" s="41" t="s">
        <v>12</v>
      </c>
      <c r="AQ103" s="41" t="s">
        <v>10</v>
      </c>
      <c r="AR103" s="41" t="s">
        <v>11</v>
      </c>
      <c r="AS103" s="15" t="s">
        <v>12</v>
      </c>
      <c r="AU103" s="15" t="s">
        <v>10</v>
      </c>
      <c r="AV103" s="15" t="s">
        <v>11</v>
      </c>
      <c r="AW103" s="15" t="s">
        <v>12</v>
      </c>
    </row>
    <row r="104" spans="27:49" x14ac:dyDescent="0.4">
      <c r="AL104" s="17"/>
    </row>
    <row r="106" spans="27:49" ht="19.5" thickBot="1" x14ac:dyDescent="0.45"/>
    <row r="107" spans="27:49" ht="54" customHeight="1" thickTop="1" x14ac:dyDescent="0.4">
      <c r="AA107" s="8">
        <v>3</v>
      </c>
      <c r="AB107" s="9">
        <v>6</v>
      </c>
      <c r="AC107" s="7">
        <v>2</v>
      </c>
      <c r="AD107" s="10">
        <v>7</v>
      </c>
      <c r="AE107" s="11">
        <v>9</v>
      </c>
      <c r="AG107" s="8">
        <v>1</v>
      </c>
      <c r="AH107" s="9">
        <v>2</v>
      </c>
      <c r="AI107" s="7">
        <v>3</v>
      </c>
      <c r="AJ107" s="10">
        <v>4</v>
      </c>
      <c r="AK107" s="11">
        <v>5</v>
      </c>
    </row>
    <row r="108" spans="27:49" ht="54" customHeight="1" x14ac:dyDescent="0.4">
      <c r="AA108" s="5">
        <v>1</v>
      </c>
      <c r="AB108" s="6">
        <v>5</v>
      </c>
      <c r="AC108" s="14">
        <v>4</v>
      </c>
      <c r="AD108" s="12">
        <v>8</v>
      </c>
      <c r="AE108" s="13">
        <v>10</v>
      </c>
      <c r="AG108" s="5">
        <v>6</v>
      </c>
      <c r="AH108" s="6">
        <v>7</v>
      </c>
      <c r="AI108" s="14">
        <v>8</v>
      </c>
      <c r="AJ108" s="12">
        <v>9</v>
      </c>
      <c r="AK108" s="13">
        <v>10</v>
      </c>
    </row>
    <row r="109" spans="27:49" ht="54" customHeight="1" x14ac:dyDescent="0.4">
      <c r="AA109" s="5">
        <v>1</v>
      </c>
      <c r="AB109" s="6">
        <v>5</v>
      </c>
      <c r="AC109" s="14">
        <v>4</v>
      </c>
      <c r="AD109" s="12">
        <v>8</v>
      </c>
      <c r="AE109" s="13">
        <v>10</v>
      </c>
      <c r="AG109" s="5">
        <v>6</v>
      </c>
      <c r="AH109" s="6">
        <v>7</v>
      </c>
      <c r="AI109" s="14">
        <v>8</v>
      </c>
      <c r="AJ109" s="12">
        <v>9</v>
      </c>
      <c r="AK109" s="13">
        <v>10</v>
      </c>
    </row>
  </sheetData>
  <mergeCells count="2">
    <mergeCell ref="AA84:AC84"/>
    <mergeCell ref="AA89:AC89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1516-629B-42B8-AA8E-CC00CA7A2328}">
  <dimension ref="C3:H44"/>
  <sheetViews>
    <sheetView showGridLines="0" zoomScale="130" zoomScaleNormal="130" workbookViewId="0">
      <selection activeCell="H7" sqref="H7:P19"/>
    </sheetView>
  </sheetViews>
  <sheetFormatPr defaultRowHeight="18.75" x14ac:dyDescent="0.4"/>
  <cols>
    <col min="4" max="4" width="12.25" bestFit="1" customWidth="1"/>
  </cols>
  <sheetData>
    <row r="3" spans="3:8" x14ac:dyDescent="0.4">
      <c r="D3">
        <v>20</v>
      </c>
      <c r="E3">
        <v>200</v>
      </c>
    </row>
    <row r="4" spans="3:8" x14ac:dyDescent="0.4">
      <c r="C4" s="45">
        <v>-1</v>
      </c>
      <c r="D4">
        <f>_xlfn.NORM.DIST($C4,0,SQRT(1/D$3),FALSE)</f>
        <v>8.0999109560891041E-5</v>
      </c>
      <c r="E4">
        <f>_xlfn.NORM.DIST($C4,0,SQRT(1/E$3),FALSE)</f>
        <v>2.0988281156771786E-43</v>
      </c>
      <c r="G4">
        <v>0</v>
      </c>
      <c r="H4">
        <v>-10</v>
      </c>
    </row>
    <row r="5" spans="3:8" x14ac:dyDescent="0.4">
      <c r="C5" s="45">
        <v>-0.95</v>
      </c>
      <c r="D5">
        <f t="shared" ref="D5:D44" si="0">_xlfn.NORM.DIST(C5,0,SQRT(1/D$3),FALSE)</f>
        <v>2.147421833866224E-4</v>
      </c>
      <c r="E5">
        <f t="shared" ref="E5:E44" si="1">_xlfn.NORM.DIST($C5,0,SQRT(1/E$3),FALSE)</f>
        <v>3.6003777727699886E-39</v>
      </c>
      <c r="G5">
        <v>0</v>
      </c>
      <c r="H5">
        <v>10</v>
      </c>
    </row>
    <row r="6" spans="3:8" x14ac:dyDescent="0.4">
      <c r="C6" s="45">
        <v>-0.9</v>
      </c>
      <c r="D6">
        <f t="shared" si="0"/>
        <v>5.4155149644273223E-4</v>
      </c>
      <c r="E6">
        <f t="shared" si="1"/>
        <v>3.7460367141229876E-35</v>
      </c>
    </row>
    <row r="7" spans="3:8" x14ac:dyDescent="0.4">
      <c r="C7" s="45">
        <v>-0.85</v>
      </c>
      <c r="D7">
        <f t="shared" si="0"/>
        <v>1.2991145052273798E-3</v>
      </c>
      <c r="E7">
        <f t="shared" si="1"/>
        <v>2.3640069344281157E-31</v>
      </c>
    </row>
    <row r="8" spans="3:8" x14ac:dyDescent="0.4">
      <c r="C8" s="45">
        <v>-0.8</v>
      </c>
      <c r="D8">
        <f t="shared" si="0"/>
        <v>2.9644244014386508E-3</v>
      </c>
      <c r="E8">
        <f t="shared" si="1"/>
        <v>9.0485339842797929E-28</v>
      </c>
    </row>
    <row r="9" spans="3:8" x14ac:dyDescent="0.4">
      <c r="C9" s="45">
        <v>-0.75</v>
      </c>
      <c r="D9">
        <f t="shared" si="0"/>
        <v>6.4345562673932266E-3</v>
      </c>
      <c r="E9">
        <f t="shared" si="1"/>
        <v>2.1006826890574794E-24</v>
      </c>
    </row>
    <row r="10" spans="3:8" x14ac:dyDescent="0.4">
      <c r="C10" s="45">
        <v>-0.7</v>
      </c>
      <c r="D10">
        <f t="shared" si="0"/>
        <v>1.3285628439771074E-2</v>
      </c>
      <c r="E10">
        <f t="shared" si="1"/>
        <v>2.9579814790015349E-21</v>
      </c>
    </row>
    <row r="11" spans="3:8" x14ac:dyDescent="0.4">
      <c r="C11" s="45">
        <v>-0.65</v>
      </c>
      <c r="D11">
        <f t="shared" si="0"/>
        <v>2.6093412362193213E-2</v>
      </c>
      <c r="E11">
        <f t="shared" si="1"/>
        <v>2.5262900015313266E-18</v>
      </c>
    </row>
    <row r="12" spans="3:8" x14ac:dyDescent="0.4">
      <c r="C12" s="45">
        <v>-0.6</v>
      </c>
      <c r="D12">
        <f t="shared" si="0"/>
        <v>4.8748912161279474E-2</v>
      </c>
      <c r="E12">
        <f t="shared" si="1"/>
        <v>1.308650619624642E-15</v>
      </c>
    </row>
    <row r="13" spans="3:8" x14ac:dyDescent="0.4">
      <c r="C13" s="45">
        <v>-0.55000000000000004</v>
      </c>
      <c r="D13">
        <f t="shared" si="0"/>
        <v>8.6633179955660694E-2</v>
      </c>
      <c r="E13">
        <f t="shared" si="1"/>
        <v>4.111658022631447E-13</v>
      </c>
    </row>
    <row r="14" spans="3:8" x14ac:dyDescent="0.4">
      <c r="C14" s="45">
        <v>-0.5</v>
      </c>
      <c r="D14">
        <f t="shared" si="0"/>
        <v>0.14644982561926481</v>
      </c>
      <c r="E14">
        <f t="shared" si="1"/>
        <v>7.8354332655086409E-11</v>
      </c>
    </row>
    <row r="15" spans="3:8" x14ac:dyDescent="0.4">
      <c r="C15" s="45">
        <v>-0.45</v>
      </c>
      <c r="D15">
        <f t="shared" si="0"/>
        <v>0.2354933988150951</v>
      </c>
      <c r="E15">
        <f t="shared" si="1"/>
        <v>9.0565294795434514E-9</v>
      </c>
    </row>
    <row r="16" spans="3:8" x14ac:dyDescent="0.4">
      <c r="C16" s="45">
        <v>-0.39999999999999902</v>
      </c>
      <c r="D16">
        <f t="shared" si="0"/>
        <v>0.3602084467215394</v>
      </c>
      <c r="E16">
        <f t="shared" si="1"/>
        <v>6.3491173359337755E-7</v>
      </c>
    </row>
    <row r="17" spans="3:5" x14ac:dyDescent="0.4">
      <c r="C17" s="45">
        <v>-0.34999999999999898</v>
      </c>
      <c r="D17">
        <f t="shared" si="0"/>
        <v>0.52410019745279723</v>
      </c>
      <c r="E17">
        <f t="shared" si="1"/>
        <v>2.6997133886925834E-5</v>
      </c>
    </row>
    <row r="18" spans="3:5" x14ac:dyDescent="0.4">
      <c r="C18" s="45">
        <v>-0.29999999999999899</v>
      </c>
      <c r="D18">
        <f t="shared" si="0"/>
        <v>0.72537073483923376</v>
      </c>
      <c r="E18">
        <f t="shared" si="1"/>
        <v>6.9626525973378272E-4</v>
      </c>
    </row>
    <row r="19" spans="3:5" x14ac:dyDescent="0.4">
      <c r="C19" s="45">
        <v>-0.249999999999999</v>
      </c>
      <c r="D19">
        <f t="shared" si="0"/>
        <v>0.95497282306711784</v>
      </c>
      <c r="E19">
        <f t="shared" si="1"/>
        <v>1.0891421151764093E-2</v>
      </c>
    </row>
    <row r="20" spans="3:5" x14ac:dyDescent="0.4">
      <c r="C20" s="45">
        <v>-0.19999999999999901</v>
      </c>
      <c r="D20">
        <f t="shared" si="0"/>
        <v>1.1959341596728246</v>
      </c>
      <c r="E20">
        <f t="shared" si="1"/>
        <v>0.10333492677046437</v>
      </c>
    </row>
    <row r="21" spans="3:5" x14ac:dyDescent="0.4">
      <c r="C21" s="45">
        <v>-0.149999999999999</v>
      </c>
      <c r="D21">
        <f t="shared" si="0"/>
        <v>1.4246520430277307</v>
      </c>
      <c r="E21">
        <f t="shared" si="1"/>
        <v>0.59465144611816512</v>
      </c>
    </row>
    <row r="22" spans="3:5" x14ac:dyDescent="0.4">
      <c r="C22" s="45">
        <v>-9.9999999999999006E-2</v>
      </c>
      <c r="D22">
        <f t="shared" si="0"/>
        <v>1.6143422587153653</v>
      </c>
      <c r="E22">
        <f t="shared" si="1"/>
        <v>2.075537487103015</v>
      </c>
    </row>
    <row r="23" spans="3:5" x14ac:dyDescent="0.4">
      <c r="C23" s="45">
        <v>-4.9999999999998997E-2</v>
      </c>
      <c r="D23">
        <f t="shared" si="0"/>
        <v>1.7400739347725878</v>
      </c>
      <c r="E23">
        <f t="shared" si="1"/>
        <v>4.3939128946772685</v>
      </c>
    </row>
    <row r="24" spans="3:5" x14ac:dyDescent="0.4">
      <c r="C24" s="45">
        <v>0</v>
      </c>
      <c r="D24">
        <f t="shared" si="0"/>
        <v>1.7841241161527712</v>
      </c>
      <c r="E24">
        <f t="shared" si="1"/>
        <v>5.6418958354775635</v>
      </c>
    </row>
    <row r="25" spans="3:5" x14ac:dyDescent="0.4">
      <c r="C25" s="45">
        <v>0.05</v>
      </c>
      <c r="D25">
        <f t="shared" si="0"/>
        <v>1.740073934772586</v>
      </c>
      <c r="E25">
        <f t="shared" si="1"/>
        <v>4.3939128946772241</v>
      </c>
    </row>
    <row r="26" spans="3:5" x14ac:dyDescent="0.4">
      <c r="C26" s="45">
        <v>0.1</v>
      </c>
      <c r="D26">
        <f t="shared" si="0"/>
        <v>1.6143422587153617</v>
      </c>
      <c r="E26">
        <f t="shared" si="1"/>
        <v>2.0755374871029733</v>
      </c>
    </row>
    <row r="27" spans="3:5" x14ac:dyDescent="0.4">
      <c r="C27" s="45">
        <v>0.15</v>
      </c>
      <c r="D27">
        <f t="shared" si="0"/>
        <v>1.4246520430277267</v>
      </c>
      <c r="E27">
        <f t="shared" si="1"/>
        <v>0.59465144611814724</v>
      </c>
    </row>
    <row r="28" spans="3:5" x14ac:dyDescent="0.4">
      <c r="C28" s="45">
        <v>0.2</v>
      </c>
      <c r="D28">
        <f t="shared" si="0"/>
        <v>1.1959341596728197</v>
      </c>
      <c r="E28">
        <f t="shared" si="1"/>
        <v>0.1033349267704602</v>
      </c>
    </row>
    <row r="29" spans="3:5" x14ac:dyDescent="0.4">
      <c r="C29" s="45">
        <v>0.25</v>
      </c>
      <c r="D29">
        <f t="shared" si="0"/>
        <v>0.95497282306711306</v>
      </c>
      <c r="E29">
        <f t="shared" si="1"/>
        <v>1.0891421151763539E-2</v>
      </c>
    </row>
    <row r="30" spans="3:5" x14ac:dyDescent="0.4">
      <c r="C30" s="45">
        <v>0.3</v>
      </c>
      <c r="D30">
        <f t="shared" si="0"/>
        <v>0.72537073483922931</v>
      </c>
      <c r="E30">
        <f t="shared" si="1"/>
        <v>6.9626525973374065E-4</v>
      </c>
    </row>
    <row r="31" spans="3:5" x14ac:dyDescent="0.4">
      <c r="C31" s="45">
        <v>0.35</v>
      </c>
      <c r="D31">
        <f t="shared" si="0"/>
        <v>0.52410019745279357</v>
      </c>
      <c r="E31">
        <f t="shared" si="1"/>
        <v>2.6997133886923916E-5</v>
      </c>
    </row>
    <row r="32" spans="3:5" x14ac:dyDescent="0.4">
      <c r="C32" s="45">
        <v>0.4</v>
      </c>
      <c r="D32">
        <f t="shared" si="0"/>
        <v>0.36020844672153657</v>
      </c>
      <c r="E32">
        <f t="shared" si="1"/>
        <v>6.3491173359332577E-7</v>
      </c>
    </row>
    <row r="33" spans="3:5" x14ac:dyDescent="0.4">
      <c r="C33" s="45">
        <v>0.45</v>
      </c>
      <c r="D33">
        <f t="shared" si="0"/>
        <v>0.2354933988150951</v>
      </c>
      <c r="E33">
        <f t="shared" si="1"/>
        <v>9.0565294795434514E-9</v>
      </c>
    </row>
    <row r="34" spans="3:5" x14ac:dyDescent="0.4">
      <c r="C34" s="45">
        <v>0.5</v>
      </c>
      <c r="D34">
        <f t="shared" si="0"/>
        <v>0.14644982561926481</v>
      </c>
      <c r="E34">
        <f t="shared" si="1"/>
        <v>7.8354332655086409E-11</v>
      </c>
    </row>
    <row r="35" spans="3:5" x14ac:dyDescent="0.4">
      <c r="C35" s="45">
        <v>0.55000000000000004</v>
      </c>
      <c r="D35">
        <f t="shared" si="0"/>
        <v>8.6633179955660694E-2</v>
      </c>
      <c r="E35">
        <f t="shared" si="1"/>
        <v>4.111658022631447E-13</v>
      </c>
    </row>
    <row r="36" spans="3:5" x14ac:dyDescent="0.4">
      <c r="C36" s="45">
        <v>0.6</v>
      </c>
      <c r="D36">
        <f t="shared" si="0"/>
        <v>4.8748912161279474E-2</v>
      </c>
      <c r="E36">
        <f t="shared" si="1"/>
        <v>1.308650619624642E-15</v>
      </c>
    </row>
    <row r="37" spans="3:5" x14ac:dyDescent="0.4">
      <c r="C37" s="45">
        <v>0.65</v>
      </c>
      <c r="D37">
        <f t="shared" si="0"/>
        <v>2.6093412362193213E-2</v>
      </c>
      <c r="E37">
        <f t="shared" si="1"/>
        <v>2.5262900015313266E-18</v>
      </c>
    </row>
    <row r="38" spans="3:5" x14ac:dyDescent="0.4">
      <c r="C38" s="45">
        <v>0.7</v>
      </c>
      <c r="D38">
        <f t="shared" si="0"/>
        <v>1.3285628439771074E-2</v>
      </c>
      <c r="E38">
        <f t="shared" si="1"/>
        <v>2.9579814790015349E-21</v>
      </c>
    </row>
    <row r="39" spans="3:5" x14ac:dyDescent="0.4">
      <c r="C39" s="45">
        <v>0.75</v>
      </c>
      <c r="D39">
        <f t="shared" si="0"/>
        <v>6.4345562673932266E-3</v>
      </c>
      <c r="E39">
        <f t="shared" si="1"/>
        <v>2.1006826890574794E-24</v>
      </c>
    </row>
    <row r="40" spans="3:5" x14ac:dyDescent="0.4">
      <c r="C40" s="45">
        <v>0.8</v>
      </c>
      <c r="D40">
        <f t="shared" si="0"/>
        <v>2.9644244014386508E-3</v>
      </c>
      <c r="E40">
        <f t="shared" si="1"/>
        <v>9.0485339842797929E-28</v>
      </c>
    </row>
    <row r="41" spans="3:5" x14ac:dyDescent="0.4">
      <c r="C41" s="45">
        <v>0.85</v>
      </c>
      <c r="D41">
        <f t="shared" si="0"/>
        <v>1.2991145052273798E-3</v>
      </c>
      <c r="E41">
        <f t="shared" si="1"/>
        <v>2.3640069344281157E-31</v>
      </c>
    </row>
    <row r="42" spans="3:5" x14ac:dyDescent="0.4">
      <c r="C42" s="45">
        <v>0.9</v>
      </c>
      <c r="D42">
        <f t="shared" si="0"/>
        <v>5.4155149644273223E-4</v>
      </c>
      <c r="E42">
        <f t="shared" si="1"/>
        <v>3.7460367141229876E-35</v>
      </c>
    </row>
    <row r="43" spans="3:5" x14ac:dyDescent="0.4">
      <c r="C43" s="45">
        <v>0.95</v>
      </c>
      <c r="D43">
        <f t="shared" si="0"/>
        <v>2.147421833866224E-4</v>
      </c>
      <c r="E43">
        <f t="shared" si="1"/>
        <v>3.6003777727699886E-39</v>
      </c>
    </row>
    <row r="44" spans="3:5" x14ac:dyDescent="0.4">
      <c r="C44" s="45">
        <v>1</v>
      </c>
      <c r="D44">
        <f t="shared" si="0"/>
        <v>8.0999109560891041E-5</v>
      </c>
      <c r="E44">
        <f t="shared" si="1"/>
        <v>2.0988281156771786E-43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8DF0-C66C-4557-971D-4E536A036013}">
  <dimension ref="B3:E13"/>
  <sheetViews>
    <sheetView workbookViewId="0">
      <selection activeCell="E8" sqref="E8"/>
    </sheetView>
  </sheetViews>
  <sheetFormatPr defaultRowHeight="18.75" x14ac:dyDescent="0.4"/>
  <sheetData>
    <row r="3" spans="2:5" x14ac:dyDescent="0.4">
      <c r="B3" s="44">
        <v>0</v>
      </c>
      <c r="C3" s="18">
        <f>B3/10</f>
        <v>0</v>
      </c>
      <c r="D3" s="18">
        <f t="shared" ref="D3:D13" si="0">_xlfn.BINOM.DIST(B3,10,0.5,FALSE)</f>
        <v>9.765625E-4</v>
      </c>
    </row>
    <row r="4" spans="2:5" x14ac:dyDescent="0.4">
      <c r="B4" s="44">
        <v>1</v>
      </c>
      <c r="C4" s="18">
        <f t="shared" ref="C4:C13" si="1">B4/10</f>
        <v>0.1</v>
      </c>
      <c r="D4" s="18">
        <f t="shared" si="0"/>
        <v>9.7656250000000017E-3</v>
      </c>
    </row>
    <row r="5" spans="2:5" x14ac:dyDescent="0.4">
      <c r="B5" s="44">
        <v>2</v>
      </c>
      <c r="C5" s="18">
        <f t="shared" si="1"/>
        <v>0.2</v>
      </c>
      <c r="D5" s="18">
        <f t="shared" si="0"/>
        <v>4.3945312499999972E-2</v>
      </c>
    </row>
    <row r="6" spans="2:5" x14ac:dyDescent="0.4">
      <c r="B6" s="44">
        <v>3</v>
      </c>
      <c r="C6" s="18">
        <f t="shared" si="1"/>
        <v>0.3</v>
      </c>
      <c r="D6" s="18">
        <f t="shared" si="0"/>
        <v>0.11718750000000003</v>
      </c>
    </row>
    <row r="7" spans="2:5" x14ac:dyDescent="0.4">
      <c r="B7" s="44">
        <v>4</v>
      </c>
      <c r="C7" s="18">
        <f t="shared" si="1"/>
        <v>0.4</v>
      </c>
      <c r="D7" s="18">
        <f t="shared" si="0"/>
        <v>0.20507812500000006</v>
      </c>
    </row>
    <row r="8" spans="2:5" x14ac:dyDescent="0.4">
      <c r="B8" s="44">
        <v>5</v>
      </c>
      <c r="C8" s="18">
        <f t="shared" si="1"/>
        <v>0.5</v>
      </c>
      <c r="D8" s="18">
        <f t="shared" si="0"/>
        <v>0.24609375000000008</v>
      </c>
      <c r="E8">
        <f>_xlfn.BINOM.DIST(B8,10,0.5,FALSE)</f>
        <v>0.24609375000000008</v>
      </c>
    </row>
    <row r="9" spans="2:5" x14ac:dyDescent="0.4">
      <c r="B9" s="44">
        <v>6</v>
      </c>
      <c r="C9" s="18">
        <f t="shared" si="1"/>
        <v>0.6</v>
      </c>
      <c r="D9" s="18">
        <f t="shared" si="0"/>
        <v>0.20507812500000006</v>
      </c>
    </row>
    <row r="10" spans="2:5" x14ac:dyDescent="0.4">
      <c r="B10" s="44">
        <v>7</v>
      </c>
      <c r="C10" s="18">
        <f t="shared" si="1"/>
        <v>0.7</v>
      </c>
      <c r="D10" s="18">
        <f t="shared" si="0"/>
        <v>0.11718750000000003</v>
      </c>
    </row>
    <row r="11" spans="2:5" x14ac:dyDescent="0.4">
      <c r="B11" s="44">
        <v>8</v>
      </c>
      <c r="C11" s="18">
        <f t="shared" si="1"/>
        <v>0.8</v>
      </c>
      <c r="D11" s="18">
        <f t="shared" si="0"/>
        <v>4.3945312499999986E-2</v>
      </c>
    </row>
    <row r="12" spans="2:5" x14ac:dyDescent="0.4">
      <c r="B12" s="44">
        <v>9</v>
      </c>
      <c r="C12" s="18">
        <f t="shared" si="1"/>
        <v>0.9</v>
      </c>
      <c r="D12" s="18">
        <f t="shared" si="0"/>
        <v>9.7656250000000017E-3</v>
      </c>
    </row>
    <row r="13" spans="2:5" x14ac:dyDescent="0.4">
      <c r="B13" s="44">
        <v>10</v>
      </c>
      <c r="C13" s="18">
        <f t="shared" si="1"/>
        <v>1</v>
      </c>
      <c r="D13" s="18">
        <f t="shared" si="0"/>
        <v>9.765625E-4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2BBE-11CA-4312-945A-5B35F3BD789F}">
  <dimension ref="M1"/>
  <sheetViews>
    <sheetView topLeftCell="J1" zoomScaleNormal="100" workbookViewId="0">
      <selection activeCell="T17" sqref="T17"/>
    </sheetView>
  </sheetViews>
  <sheetFormatPr defaultRowHeight="18.75" x14ac:dyDescent="0.4"/>
  <sheetData>
    <row r="1" spans="13:13" x14ac:dyDescent="0.4">
      <c r="M1" t="s">
        <v>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推測統計学のプロセス</vt:lpstr>
      <vt:lpstr>選挙の標本調査の結果</vt:lpstr>
      <vt:lpstr>Sheet2</vt:lpstr>
      <vt:lpstr>Sheet3</vt:lpstr>
      <vt:lpstr>Sheet1</vt:lpstr>
      <vt:lpstr>ベン図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土田尚弘</dc:creator>
  <cp:lastModifiedBy>土田 尚弘</cp:lastModifiedBy>
  <dcterms:created xsi:type="dcterms:W3CDTF">2023-05-19T16:28:46Z</dcterms:created>
  <dcterms:modified xsi:type="dcterms:W3CDTF">2023-06-03T14:42:34Z</dcterms:modified>
</cp:coreProperties>
</file>