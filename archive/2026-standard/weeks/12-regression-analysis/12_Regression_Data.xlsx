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hida" sheetId="1" r:id="rId5"/>
    <sheet state="visible" name="フォームの回答 1" sheetId="2" r:id="rId6"/>
    <sheet state="hidden" name="Backup" sheetId="3" r:id="rId7"/>
  </sheets>
  <definedNames/>
  <calcPr/>
</workbook>
</file>

<file path=xl/sharedStrings.xml><?xml version="1.0" encoding="utf-8"?>
<sst xmlns="http://schemas.openxmlformats.org/spreadsheetml/2006/main" count="142" uniqueCount="95">
  <si>
    <t>sushida score</t>
  </si>
  <si>
    <t>Yoh</t>
  </si>
  <si>
    <t>soichi</t>
  </si>
  <si>
    <t>souta</t>
  </si>
  <si>
    <t>Iori</t>
  </si>
  <si>
    <t>Kotaro</t>
  </si>
  <si>
    <t>Raito</t>
  </si>
  <si>
    <t>ryoya</t>
  </si>
  <si>
    <t>Takuya</t>
  </si>
  <si>
    <t>You</t>
  </si>
  <si>
    <t>hiroya</t>
  </si>
  <si>
    <t>Koki</t>
  </si>
  <si>
    <t>kakeru</t>
  </si>
  <si>
    <t>youhei</t>
  </si>
  <si>
    <t>akira</t>
  </si>
  <si>
    <t>Eiji</t>
  </si>
  <si>
    <t>Yuma</t>
  </si>
  <si>
    <t>aoi</t>
  </si>
  <si>
    <t>kieto</t>
  </si>
  <si>
    <t>takahiro</t>
  </si>
  <si>
    <t>Shotaro</t>
  </si>
  <si>
    <t>Kazuhiro</t>
  </si>
  <si>
    <t>Souta</t>
  </si>
  <si>
    <t>Hayato</t>
  </si>
  <si>
    <t>tatsuki</t>
  </si>
  <si>
    <t>Kota</t>
  </si>
  <si>
    <t>Rikuya</t>
  </si>
  <si>
    <t>Ogawa</t>
  </si>
  <si>
    <t>Riku</t>
  </si>
  <si>
    <t>Ryusei</t>
  </si>
  <si>
    <t>あなたのあだ名</t>
  </si>
  <si>
    <t>Week 1 スコア</t>
  </si>
  <si>
    <t>ゲーマー度（1-10)</t>
  </si>
  <si>
    <t>Week 2 スコア</t>
  </si>
  <si>
    <t>けぇ</t>
  </si>
  <si>
    <t>みしょう</t>
  </si>
  <si>
    <t>Week 3 コイントス10回表は？</t>
  </si>
  <si>
    <t>表回数</t>
  </si>
  <si>
    <t>カウント</t>
  </si>
  <si>
    <t>らいと</t>
  </si>
  <si>
    <t>1回</t>
  </si>
  <si>
    <t>たけ</t>
  </si>
  <si>
    <t>そうた</t>
  </si>
  <si>
    <t>2回</t>
  </si>
  <si>
    <t>らいむ</t>
  </si>
  <si>
    <t>3回</t>
  </si>
  <si>
    <t>4回</t>
  </si>
  <si>
    <t>あゆま</t>
  </si>
  <si>
    <t xml:space="preserve"> </t>
  </si>
  <si>
    <t>5回</t>
  </si>
  <si>
    <t>しょうま</t>
  </si>
  <si>
    <t>6回</t>
  </si>
  <si>
    <t>Soichi</t>
  </si>
  <si>
    <t>7回</t>
  </si>
  <si>
    <t>こたろう</t>
  </si>
  <si>
    <t>8回</t>
  </si>
  <si>
    <t>CASIO</t>
  </si>
  <si>
    <t>JIhoon</t>
  </si>
  <si>
    <t>9回</t>
  </si>
  <si>
    <t>藤井航己</t>
  </si>
  <si>
    <t>10回</t>
  </si>
  <si>
    <t>りょうや</t>
  </si>
  <si>
    <t>あおい</t>
  </si>
  <si>
    <t>はやと</t>
  </si>
  <si>
    <t>ii</t>
  </si>
  <si>
    <t>]</t>
  </si>
  <si>
    <t>坂井里久や</t>
  </si>
  <si>
    <t xml:space="preserve">　　　　　　　　　   4</t>
  </si>
  <si>
    <t>カズヒロ</t>
  </si>
  <si>
    <t>ヨウ</t>
  </si>
  <si>
    <t>ヨーダ</t>
  </si>
  <si>
    <t>yu</t>
  </si>
  <si>
    <t>リーダー</t>
  </si>
  <si>
    <t>あわの</t>
  </si>
  <si>
    <t>いおりん</t>
  </si>
  <si>
    <t>たかひろ</t>
  </si>
  <si>
    <t>りゅうせい</t>
  </si>
  <si>
    <t>小川史温</t>
  </si>
  <si>
    <t>瑛士</t>
  </si>
  <si>
    <t>しょうたろう</t>
  </si>
  <si>
    <t>しゅんと</t>
  </si>
  <si>
    <t>き</t>
  </si>
  <si>
    <t>にめすと</t>
  </si>
  <si>
    <t>GOD</t>
  </si>
  <si>
    <t xml:space="preserve"> HIKAKIN</t>
  </si>
  <si>
    <t>SEIKIN</t>
  </si>
  <si>
    <t>たっつぁん</t>
  </si>
  <si>
    <t>ゆうすけ</t>
  </si>
  <si>
    <t>あいわ</t>
  </si>
  <si>
    <t>くり</t>
  </si>
  <si>
    <t>李　勇強</t>
  </si>
  <si>
    <t>陸</t>
  </si>
  <si>
    <t>ぐ</t>
  </si>
  <si>
    <t>こた</t>
  </si>
  <si>
    <t>たく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</si>
</sst>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1" numFmtId="0" xfId="0" applyBorder="1" applyFont="1"/>
    <xf borderId="3" fillId="2" fontId="1" numFmtId="0" xfId="0" applyAlignment="1" applyBorder="1" applyFill="1" applyFont="1">
      <alignment horizontal="center" readingOrder="0"/>
    </xf>
    <xf borderId="4" fillId="0" fontId="1" numFmtId="0" xfId="0" applyBorder="1" applyFont="1"/>
    <xf borderId="4" fillId="0" fontId="1" numFmtId="0" xfId="0" applyAlignment="1" applyBorder="1" applyFont="1">
      <alignment readingOrder="0"/>
    </xf>
    <xf borderId="5" fillId="2" fontId="1" numFmtId="0" xfId="0" applyAlignment="1" applyBorder="1" applyFill="1" applyFont="1">
      <alignment horizontal="center" readingOrder="0"/>
    </xf>
    <xf borderId="6" fillId="0" fontId="1" numFmtId="0" xfId="0" applyBorder="1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D6CFE1"/>
          <bgColor rgb="FFD6CFE1"/>
        </patternFill>
      </fill>
      <border/>
    </dxf>
  </dxfs>
  <tableStyles count="2">
    <tableStyle count="4" pivot="0" name="Back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フォームの回答 1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カウント と 表回数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'フォームの回答 1'!$H$2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'フォームの回答 1'!$G$3:$G$12</c:f>
            </c:strRef>
          </c:cat>
          <c:val>
            <c:numRef>
              <c:f>'フォームの回答 1'!$H$3:$H$12</c:f>
              <c:numCache/>
            </c:numRef>
          </c:val>
        </c:ser>
        <c:axId val="307378648"/>
        <c:axId val="1770487390"/>
      </c:barChart>
      <c:catAx>
        <c:axId val="307378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表回数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487390"/>
      </c:catAx>
      <c:valAx>
        <c:axId val="1770487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カウント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378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17</xdr:row>
      <xdr:rowOff>66675</xdr:rowOff>
    </xdr:from>
    <xdr:ext cx="5715000" cy="3009900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E52" displayName="Form_Responses" name="Form_Responses" id="2">
  <tableColumns count="5">
    <tableColumn name="あなたのあだ名" id="1"/>
    <tableColumn name="Week 1 スコア" id="2"/>
    <tableColumn name="ゲーマー度（1-10)" id="3"/>
    <tableColumn name="Week 2 スコア" id="4"/>
    <tableColumn name="Week 3 コイントス10回表は？" id="5"/>
  </tableColumns>
  <tableStyleInfo name="フォームの回答 1-style" showColumnStripes="0" showFirstColumn="1" showLastColumn="1" showRowStripes="1"/>
</table>
</file>

<file path=xl/tables/table2.xml><?xml version="1.0" encoding="utf-8"?>
<table xmlns="http://schemas.openxmlformats.org/spreadsheetml/2006/main" ref="A1:D51" displayName="Form_Responses_2" name="Form_Responses_2" id="1">
  <tableColumns count="4">
    <tableColumn name="あなたのあだ名" id="1"/>
    <tableColumn name="Week 1 スコア" id="2"/>
    <tableColumn name="ゲーマー度（1-10)" id="3"/>
    <tableColumn name="Week 2 スコア" id="4"/>
  </tableColumns>
  <tableStyleInfo name="Back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/>
      <c r="B1" s="1" t="s">
        <v>0</v>
      </c>
    </row>
    <row r="2">
      <c r="A2" s="1" t="s">
        <v>1</v>
      </c>
      <c r="B2" s="1">
        <v>1580.0</v>
      </c>
    </row>
    <row r="3">
      <c r="A3" s="1" t="s">
        <v>2</v>
      </c>
      <c r="B3" s="1">
        <v>-540.0</v>
      </c>
    </row>
    <row r="4">
      <c r="A4" s="1" t="s">
        <v>3</v>
      </c>
      <c r="B4" s="1">
        <v>3000.0</v>
      </c>
    </row>
    <row r="5">
      <c r="A5" s="1" t="s">
        <v>4</v>
      </c>
      <c r="B5" s="1">
        <v>980.0</v>
      </c>
    </row>
    <row r="6">
      <c r="A6" s="1" t="s">
        <v>5</v>
      </c>
      <c r="B6" s="1">
        <v>60.0</v>
      </c>
    </row>
    <row r="7">
      <c r="A7" s="1" t="s">
        <v>6</v>
      </c>
      <c r="B7" s="1">
        <v>-120.0</v>
      </c>
    </row>
    <row r="8">
      <c r="A8" s="1" t="s">
        <v>7</v>
      </c>
      <c r="B8" s="1">
        <v>1980.0</v>
      </c>
    </row>
    <row r="9">
      <c r="A9" s="1" t="s">
        <v>8</v>
      </c>
      <c r="B9" s="1">
        <v>1200.0</v>
      </c>
    </row>
    <row r="10">
      <c r="A10" s="1" t="s">
        <v>9</v>
      </c>
      <c r="B10" s="1">
        <v>-540.0</v>
      </c>
    </row>
    <row r="11">
      <c r="A11" s="1" t="s">
        <v>10</v>
      </c>
      <c r="B11" s="1">
        <v>-780.0</v>
      </c>
    </row>
    <row r="12">
      <c r="A12" s="1" t="s">
        <v>11</v>
      </c>
      <c r="B12" s="1">
        <v>1880.0</v>
      </c>
    </row>
    <row r="13">
      <c r="A13" s="1" t="s">
        <v>12</v>
      </c>
      <c r="B13" s="1">
        <v>-780.0</v>
      </c>
    </row>
    <row r="14">
      <c r="A14" s="1" t="s">
        <v>13</v>
      </c>
      <c r="B14" s="1">
        <v>1980.0</v>
      </c>
    </row>
    <row r="15">
      <c r="A15" s="1" t="s">
        <v>14</v>
      </c>
      <c r="B15" s="1">
        <v>1880.0</v>
      </c>
    </row>
    <row r="16">
      <c r="A16" s="1" t="s">
        <v>15</v>
      </c>
      <c r="B16" s="1">
        <v>-1560.0</v>
      </c>
    </row>
    <row r="17">
      <c r="A17" s="1" t="s">
        <v>16</v>
      </c>
      <c r="B17" s="1">
        <v>728.0</v>
      </c>
    </row>
    <row r="18">
      <c r="A18" s="1" t="s">
        <v>17</v>
      </c>
      <c r="B18" s="1">
        <v>-300.0</v>
      </c>
    </row>
    <row r="19">
      <c r="A19" s="1" t="s">
        <v>18</v>
      </c>
      <c r="B19" s="2">
        <v>2820.0</v>
      </c>
    </row>
    <row r="20">
      <c r="A20" s="1" t="s">
        <v>19</v>
      </c>
      <c r="B20" s="1">
        <v>-300.0</v>
      </c>
    </row>
    <row r="21">
      <c r="A21" s="1" t="s">
        <v>20</v>
      </c>
      <c r="B21" s="1">
        <v>1780.0</v>
      </c>
    </row>
    <row r="22">
      <c r="A22" s="1" t="s">
        <v>21</v>
      </c>
      <c r="B22" s="1">
        <v>-1200.0</v>
      </c>
    </row>
    <row r="23">
      <c r="A23" s="1" t="s">
        <v>22</v>
      </c>
      <c r="B23" s="1">
        <v>1280.0</v>
      </c>
    </row>
    <row r="24">
      <c r="A24" s="1" t="s">
        <v>23</v>
      </c>
      <c r="B24" s="1">
        <v>880.0</v>
      </c>
    </row>
    <row r="25">
      <c r="A25" s="1" t="s">
        <v>24</v>
      </c>
      <c r="B25" s="1">
        <v>-120.0</v>
      </c>
    </row>
    <row r="26">
      <c r="A26" s="1" t="s">
        <v>25</v>
      </c>
      <c r="B26" s="1">
        <v>-560.0</v>
      </c>
    </row>
    <row r="27">
      <c r="A27" s="1" t="s">
        <v>26</v>
      </c>
      <c r="B27" s="1">
        <v>-360.0</v>
      </c>
    </row>
    <row r="28">
      <c r="A28" s="1" t="s">
        <v>27</v>
      </c>
      <c r="B28" s="1">
        <v>-1440.0</v>
      </c>
    </row>
    <row r="29">
      <c r="A29" s="1" t="s">
        <v>28</v>
      </c>
      <c r="B29" s="1">
        <v>780.0</v>
      </c>
    </row>
    <row r="30">
      <c r="A30" s="1" t="s">
        <v>29</v>
      </c>
      <c r="B30" s="1">
        <v>1880.0</v>
      </c>
    </row>
    <row r="31">
      <c r="B31" s="3">
        <f>average(B2:B30)</f>
        <v>554.7586207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38"/>
    <col customWidth="1" min="3" max="3" width="22.5"/>
    <col customWidth="1" min="4" max="5" width="18.88"/>
    <col customWidth="1" min="6" max="6" width="12.0"/>
    <col customWidth="1" min="7" max="7" width="11.63"/>
    <col customWidth="1" min="8" max="8" width="18.88"/>
  </cols>
  <sheetData>
    <row r="1" ht="22.5" customHeight="1">
      <c r="A1" s="4" t="s">
        <v>30</v>
      </c>
      <c r="B1" s="5" t="s">
        <v>31</v>
      </c>
      <c r="C1" s="4" t="s">
        <v>32</v>
      </c>
      <c r="D1" s="4" t="s">
        <v>33</v>
      </c>
      <c r="E1" s="4" t="s">
        <v>36</v>
      </c>
      <c r="G1" s="8"/>
    </row>
    <row r="2" ht="22.5" customHeight="1">
      <c r="A2" s="6" t="s">
        <v>34</v>
      </c>
      <c r="B2" s="6">
        <v>798.0</v>
      </c>
      <c r="C2" s="9"/>
      <c r="D2" s="6"/>
      <c r="E2" s="10"/>
      <c r="G2" s="11" t="s">
        <v>37</v>
      </c>
      <c r="H2" s="1" t="s">
        <v>38</v>
      </c>
    </row>
    <row r="3" ht="22.5" customHeight="1">
      <c r="A3" s="6" t="s">
        <v>35</v>
      </c>
      <c r="B3" s="6">
        <v>591.0</v>
      </c>
      <c r="C3" s="9">
        <v>10.0</v>
      </c>
      <c r="D3" s="6">
        <v>1000.0</v>
      </c>
      <c r="E3" s="6">
        <v>10.0</v>
      </c>
      <c r="G3" s="12" t="s">
        <v>40</v>
      </c>
      <c r="H3" s="13">
        <f>countif(E:E,1)</f>
        <v>0</v>
      </c>
    </row>
    <row r="4" ht="22.5" customHeight="1">
      <c r="A4" s="6" t="s">
        <v>39</v>
      </c>
      <c r="B4" s="6">
        <v>903.0</v>
      </c>
      <c r="C4" s="9">
        <v>10.0</v>
      </c>
      <c r="D4" s="6">
        <v>2947.0</v>
      </c>
      <c r="E4" s="6">
        <v>4.0</v>
      </c>
      <c r="G4" s="14" t="s">
        <v>43</v>
      </c>
      <c r="H4" s="15">
        <f>countif(E:E,2)</f>
        <v>2</v>
      </c>
    </row>
    <row r="5" ht="22.5" customHeight="1">
      <c r="A5" s="6" t="s">
        <v>41</v>
      </c>
      <c r="B5" s="6">
        <v>658.0</v>
      </c>
      <c r="C5" s="9">
        <v>7.0</v>
      </c>
      <c r="D5" s="6">
        <v>1361.0</v>
      </c>
      <c r="E5" s="6">
        <v>4.0</v>
      </c>
      <c r="G5" s="14" t="s">
        <v>45</v>
      </c>
      <c r="H5" s="15">
        <f>countif(E:E,3)</f>
        <v>5</v>
      </c>
    </row>
    <row r="6" ht="22.5" customHeight="1">
      <c r="A6" s="6" t="s">
        <v>42</v>
      </c>
      <c r="B6" s="6">
        <v>728.0</v>
      </c>
      <c r="C6" s="9">
        <v>2.0</v>
      </c>
      <c r="D6" s="6">
        <v>886.0</v>
      </c>
      <c r="E6" s="6">
        <v>4.0</v>
      </c>
      <c r="G6" s="14" t="s">
        <v>46</v>
      </c>
      <c r="H6" s="15">
        <f>countif(E:E,4)</f>
        <v>10</v>
      </c>
    </row>
    <row r="7" ht="22.5" customHeight="1">
      <c r="A7" s="6" t="s">
        <v>44</v>
      </c>
      <c r="B7" s="6">
        <v>36.0</v>
      </c>
      <c r="C7" s="9">
        <v>10.0</v>
      </c>
      <c r="D7" s="6">
        <v>248.0</v>
      </c>
      <c r="E7" s="6">
        <v>6.0</v>
      </c>
      <c r="G7" s="14" t="s">
        <v>49</v>
      </c>
      <c r="H7" s="16">
        <f>countif(E:E,5)</f>
        <v>6</v>
      </c>
    </row>
    <row r="8" ht="22.5" customHeight="1">
      <c r="A8" s="6" t="s">
        <v>42</v>
      </c>
      <c r="B8" s="6">
        <v>200.0</v>
      </c>
      <c r="C8" s="7"/>
      <c r="D8" s="6"/>
      <c r="E8" s="10"/>
      <c r="G8" s="14" t="s">
        <v>51</v>
      </c>
      <c r="H8" s="15">
        <f>countif(E:E,6)</f>
        <v>4</v>
      </c>
    </row>
    <row r="9" ht="22.5" customHeight="1">
      <c r="A9" s="6" t="s">
        <v>47</v>
      </c>
      <c r="B9" s="6">
        <v>443.0</v>
      </c>
      <c r="C9" s="9">
        <v>10.0</v>
      </c>
      <c r="D9" s="6">
        <v>837.0</v>
      </c>
      <c r="E9" s="6">
        <v>3.0</v>
      </c>
      <c r="G9" s="14" t="s">
        <v>53</v>
      </c>
      <c r="H9" s="15">
        <f>countif(E:E,7)</f>
        <v>7</v>
      </c>
    </row>
    <row r="10" ht="22.5" customHeight="1">
      <c r="A10" s="6" t="s">
        <v>48</v>
      </c>
      <c r="B10" s="6">
        <v>538.0</v>
      </c>
      <c r="C10" s="9">
        <v>1.0</v>
      </c>
      <c r="D10" s="6">
        <v>48.0</v>
      </c>
      <c r="E10" s="6">
        <v>4.0</v>
      </c>
      <c r="G10" s="14" t="s">
        <v>55</v>
      </c>
      <c r="H10" s="15">
        <f>countif(E:E,8)</f>
        <v>1</v>
      </c>
    </row>
    <row r="11" ht="22.5" customHeight="1">
      <c r="A11" s="6" t="s">
        <v>50</v>
      </c>
      <c r="B11" s="6">
        <v>838.0</v>
      </c>
      <c r="C11" s="9">
        <v>10.0</v>
      </c>
      <c r="D11" s="6"/>
      <c r="E11" s="10"/>
      <c r="G11" s="14" t="s">
        <v>58</v>
      </c>
      <c r="H11" s="15">
        <f>countif(E:E,9)</f>
        <v>0</v>
      </c>
    </row>
    <row r="12" ht="22.5" customHeight="1">
      <c r="A12" s="6" t="s">
        <v>52</v>
      </c>
      <c r="B12" s="6">
        <v>57.0</v>
      </c>
      <c r="C12" s="9">
        <v>10.0</v>
      </c>
      <c r="D12" s="6">
        <v>67.0</v>
      </c>
      <c r="E12" s="6">
        <v>3.0</v>
      </c>
      <c r="G12" s="17" t="s">
        <v>60</v>
      </c>
      <c r="H12" s="18">
        <f>countif(E:E,10)</f>
        <v>1</v>
      </c>
    </row>
    <row r="13" ht="22.5" customHeight="1">
      <c r="A13" s="6" t="s">
        <v>54</v>
      </c>
      <c r="B13" s="6">
        <v>1382.0</v>
      </c>
      <c r="C13" s="9">
        <v>10.0</v>
      </c>
      <c r="D13" s="6">
        <v>1014.0</v>
      </c>
      <c r="E13" s="6">
        <v>7.0</v>
      </c>
      <c r="G13" s="8"/>
    </row>
    <row r="14" ht="22.5" customHeight="1">
      <c r="A14" s="6" t="s">
        <v>56</v>
      </c>
      <c r="B14" s="6">
        <v>409.0</v>
      </c>
      <c r="C14" s="9">
        <v>2.0</v>
      </c>
      <c r="D14" s="6">
        <v>292.0</v>
      </c>
      <c r="E14" s="6">
        <v>7.0</v>
      </c>
      <c r="G14" s="8"/>
    </row>
    <row r="15" ht="22.5" customHeight="1">
      <c r="A15" s="6" t="s">
        <v>57</v>
      </c>
      <c r="B15" s="6">
        <v>1439.0</v>
      </c>
      <c r="C15" s="9">
        <v>10.0</v>
      </c>
      <c r="D15" s="6">
        <v>9000.0</v>
      </c>
      <c r="E15" s="6"/>
      <c r="G15" s="8"/>
    </row>
    <row r="16" ht="22.5" customHeight="1">
      <c r="A16" s="6" t="s">
        <v>59</v>
      </c>
      <c r="B16" s="6">
        <v>859.0</v>
      </c>
      <c r="C16" s="9">
        <v>10.0</v>
      </c>
      <c r="D16" s="6"/>
      <c r="E16" s="6">
        <v>5.0</v>
      </c>
      <c r="G16" s="8"/>
    </row>
    <row r="17" ht="22.5" customHeight="1">
      <c r="A17" s="6" t="s">
        <v>61</v>
      </c>
      <c r="B17" s="6">
        <v>1034.0</v>
      </c>
      <c r="C17" s="9">
        <v>7.0</v>
      </c>
      <c r="D17" s="6">
        <v>51.0</v>
      </c>
      <c r="E17" s="6" t="s">
        <v>65</v>
      </c>
      <c r="G17" s="8"/>
    </row>
    <row r="18" ht="22.5" customHeight="1">
      <c r="A18" s="6" t="s">
        <v>62</v>
      </c>
      <c r="B18" s="6">
        <v>1579.0</v>
      </c>
      <c r="C18" s="9">
        <v>7.0</v>
      </c>
      <c r="D18" s="6"/>
      <c r="E18" s="6">
        <v>6.0</v>
      </c>
      <c r="G18" s="8"/>
    </row>
    <row r="19" ht="22.5" customHeight="1">
      <c r="A19" s="6" t="s">
        <v>63</v>
      </c>
      <c r="B19" s="6">
        <v>1933.0</v>
      </c>
      <c r="C19" s="9">
        <v>5.0</v>
      </c>
      <c r="D19" s="6">
        <v>800.0</v>
      </c>
      <c r="E19" s="6">
        <v>4.0</v>
      </c>
      <c r="G19" s="8"/>
    </row>
    <row r="20" ht="22.5" customHeight="1">
      <c r="A20" s="6" t="s">
        <v>64</v>
      </c>
      <c r="B20" s="6">
        <v>1283.0</v>
      </c>
      <c r="C20" s="7"/>
      <c r="D20" s="6"/>
      <c r="E20" s="10"/>
      <c r="G20" s="8"/>
    </row>
    <row r="21" ht="22.5" customHeight="1">
      <c r="A21" s="6" t="s">
        <v>66</v>
      </c>
      <c r="B21" s="6">
        <v>438.0</v>
      </c>
      <c r="C21" s="9">
        <v>3.0</v>
      </c>
      <c r="D21" s="6">
        <v>335.0</v>
      </c>
      <c r="E21" s="6" t="s">
        <v>67</v>
      </c>
      <c r="G21" s="8"/>
    </row>
    <row r="22" ht="22.5" customHeight="1">
      <c r="A22" s="6" t="s">
        <v>68</v>
      </c>
      <c r="B22" s="6">
        <v>811.0</v>
      </c>
      <c r="C22" s="9">
        <v>8.0</v>
      </c>
      <c r="D22" s="6"/>
      <c r="E22" s="6">
        <v>7.0</v>
      </c>
      <c r="G22" s="8"/>
    </row>
    <row r="23" ht="22.5" customHeight="1">
      <c r="A23" s="6" t="s">
        <v>14</v>
      </c>
      <c r="B23" s="6">
        <v>1459.0</v>
      </c>
      <c r="C23" s="9">
        <v>7.0</v>
      </c>
      <c r="D23" s="6">
        <v>3574.0</v>
      </c>
      <c r="E23" s="6">
        <v>6.0</v>
      </c>
      <c r="G23" s="8"/>
    </row>
    <row r="24" ht="22.5" customHeight="1">
      <c r="A24" s="6" t="s">
        <v>69</v>
      </c>
      <c r="B24" s="6">
        <v>1580.0</v>
      </c>
      <c r="C24" s="9">
        <v>1.0</v>
      </c>
      <c r="D24" s="6">
        <v>2321.0</v>
      </c>
      <c r="E24" s="6">
        <v>4.0</v>
      </c>
      <c r="G24" s="8"/>
    </row>
    <row r="25" ht="22.5" customHeight="1">
      <c r="A25" s="6" t="s">
        <v>70</v>
      </c>
      <c r="B25" s="6">
        <v>1757.0</v>
      </c>
      <c r="C25" s="9">
        <v>4.0</v>
      </c>
      <c r="D25" s="6">
        <v>94.0</v>
      </c>
      <c r="E25" s="6">
        <v>5.0</v>
      </c>
      <c r="G25" s="8"/>
    </row>
    <row r="26" ht="22.5" customHeight="1">
      <c r="A26" s="6" t="s">
        <v>71</v>
      </c>
      <c r="B26" s="6">
        <v>291.0</v>
      </c>
      <c r="C26" s="9">
        <v>1.0</v>
      </c>
      <c r="D26" s="6">
        <v>372.0</v>
      </c>
      <c r="E26" s="6">
        <v>4.0</v>
      </c>
      <c r="G26" s="8"/>
    </row>
    <row r="27" ht="22.5" customHeight="1">
      <c r="A27" s="6" t="s">
        <v>72</v>
      </c>
      <c r="B27" s="6">
        <v>1606.0</v>
      </c>
      <c r="C27" s="9">
        <v>6.0</v>
      </c>
      <c r="D27" s="6">
        <v>1381.0</v>
      </c>
      <c r="E27" s="6">
        <v>3.0</v>
      </c>
      <c r="G27" s="8"/>
    </row>
    <row r="28" ht="22.5" customHeight="1">
      <c r="A28" s="6" t="s">
        <v>73</v>
      </c>
      <c r="B28" s="6">
        <v>343.0</v>
      </c>
      <c r="C28" s="9">
        <v>9.0</v>
      </c>
      <c r="D28" s="6">
        <v>302.0</v>
      </c>
      <c r="E28" s="6">
        <v>5.0</v>
      </c>
      <c r="G28" s="8"/>
    </row>
    <row r="29" ht="22.5" customHeight="1">
      <c r="A29" s="6" t="s">
        <v>74</v>
      </c>
      <c r="B29" s="6">
        <v>571.0</v>
      </c>
      <c r="C29" s="9">
        <v>10.0</v>
      </c>
      <c r="D29" s="6">
        <v>496.0</v>
      </c>
      <c r="E29" s="6">
        <v>7.0</v>
      </c>
      <c r="G29" s="8"/>
    </row>
    <row r="30" ht="22.5" customHeight="1">
      <c r="A30" s="6" t="s">
        <v>75</v>
      </c>
      <c r="B30" s="6">
        <v>682.0</v>
      </c>
      <c r="C30" s="9">
        <v>6.0</v>
      </c>
      <c r="D30" s="6">
        <v>1530.0</v>
      </c>
      <c r="E30" s="6">
        <v>4.0</v>
      </c>
      <c r="G30" s="8"/>
    </row>
    <row r="31" ht="22.5" customHeight="1">
      <c r="A31" s="6" t="s">
        <v>76</v>
      </c>
      <c r="B31" s="6">
        <v>823.0</v>
      </c>
      <c r="C31" s="9">
        <v>5.0</v>
      </c>
      <c r="D31" s="6">
        <v>47.0</v>
      </c>
      <c r="E31" s="6">
        <v>4.0</v>
      </c>
      <c r="G31" s="8"/>
    </row>
    <row r="32" ht="22.5" customHeight="1">
      <c r="A32" s="6" t="s">
        <v>77</v>
      </c>
      <c r="B32" s="6">
        <v>456.0</v>
      </c>
      <c r="C32" s="9"/>
      <c r="D32" s="6"/>
      <c r="E32" s="10"/>
      <c r="G32" s="8"/>
    </row>
    <row r="33" ht="22.5" customHeight="1">
      <c r="A33" s="6" t="s">
        <v>78</v>
      </c>
      <c r="B33" s="6">
        <v>66.0</v>
      </c>
      <c r="C33" s="9">
        <v>1.0</v>
      </c>
      <c r="D33" s="6">
        <v>337.0</v>
      </c>
      <c r="E33" s="6">
        <v>7.0</v>
      </c>
      <c r="G33" s="8"/>
    </row>
    <row r="34" ht="22.5" customHeight="1">
      <c r="A34" s="6" t="s">
        <v>79</v>
      </c>
      <c r="B34" s="6">
        <v>2862.0</v>
      </c>
      <c r="C34" s="9">
        <v>4.0</v>
      </c>
      <c r="D34" s="6">
        <v>953.0</v>
      </c>
      <c r="E34" s="6">
        <v>4.0</v>
      </c>
      <c r="G34" s="8"/>
    </row>
    <row r="35" ht="22.5" customHeight="1">
      <c r="A35" s="6" t="s">
        <v>80</v>
      </c>
      <c r="B35" s="6">
        <v>2812.0</v>
      </c>
      <c r="C35" s="9">
        <v>10.0</v>
      </c>
      <c r="D35" s="6">
        <v>1298.0</v>
      </c>
      <c r="E35" s="10"/>
      <c r="G35" s="8"/>
    </row>
    <row r="36" ht="22.5" customHeight="1">
      <c r="A36" s="6" t="s">
        <v>81</v>
      </c>
      <c r="B36" s="6">
        <v>1558.0</v>
      </c>
      <c r="C36" s="9">
        <v>8.0</v>
      </c>
      <c r="D36" s="6">
        <v>1100.0</v>
      </c>
      <c r="E36" s="6">
        <v>8.0</v>
      </c>
      <c r="G36" s="8"/>
    </row>
    <row r="37" ht="22.5" customHeight="1">
      <c r="A37" s="19" t="s">
        <v>82</v>
      </c>
      <c r="B37" s="19">
        <v>579.0</v>
      </c>
      <c r="C37" s="20">
        <v>10.0</v>
      </c>
      <c r="D37" s="19">
        <v>2642.0</v>
      </c>
      <c r="E37" s="6">
        <v>5.0</v>
      </c>
      <c r="G37" s="8"/>
    </row>
    <row r="38" ht="22.5" customHeight="1">
      <c r="A38" s="19" t="s">
        <v>83</v>
      </c>
      <c r="B38" s="19">
        <v>47.0</v>
      </c>
      <c r="C38" s="20">
        <v>10.0</v>
      </c>
      <c r="D38" s="19">
        <v>49.0</v>
      </c>
      <c r="E38" s="6">
        <v>7.0</v>
      </c>
      <c r="G38" s="8"/>
    </row>
    <row r="39" ht="22.5" customHeight="1">
      <c r="A39" s="19" t="s">
        <v>84</v>
      </c>
      <c r="B39" s="19">
        <v>1000.0</v>
      </c>
      <c r="C39" s="20">
        <v>10.0</v>
      </c>
      <c r="D39" s="19">
        <v>725.0</v>
      </c>
      <c r="E39" s="6">
        <v>2.0</v>
      </c>
      <c r="G39" s="8"/>
    </row>
    <row r="40" ht="22.5" customHeight="1">
      <c r="A40" s="19" t="s">
        <v>85</v>
      </c>
      <c r="B40" s="19">
        <v>1001.0</v>
      </c>
      <c r="C40" s="20">
        <v>2.0</v>
      </c>
      <c r="D40" s="19">
        <v>458.0</v>
      </c>
      <c r="E40" s="6">
        <v>6.0</v>
      </c>
      <c r="G40" s="8"/>
    </row>
    <row r="41" ht="22.5" customHeight="1">
      <c r="A41" s="19" t="s">
        <v>86</v>
      </c>
      <c r="B41" s="19">
        <v>1322.0</v>
      </c>
      <c r="C41" s="20">
        <v>6.0</v>
      </c>
      <c r="D41" s="19">
        <v>1794.0</v>
      </c>
      <c r="E41" s="6">
        <v>3.0</v>
      </c>
      <c r="G41" s="8"/>
    </row>
    <row r="42" ht="22.5" customHeight="1">
      <c r="A42" s="19" t="s">
        <v>87</v>
      </c>
      <c r="B42" s="19">
        <v>5964.0</v>
      </c>
      <c r="C42" s="21"/>
      <c r="D42" s="19"/>
      <c r="E42" s="10"/>
      <c r="G42" s="8"/>
    </row>
    <row r="43" ht="22.5" customHeight="1">
      <c r="A43" s="19" t="s">
        <v>88</v>
      </c>
      <c r="B43" s="19">
        <v>3520.0</v>
      </c>
      <c r="C43" s="20">
        <v>1.0</v>
      </c>
      <c r="D43" s="19">
        <v>4300.0</v>
      </c>
      <c r="E43" s="6">
        <v>2.0</v>
      </c>
      <c r="G43" s="8"/>
    </row>
    <row r="44" ht="22.5" customHeight="1">
      <c r="A44" s="19" t="s">
        <v>89</v>
      </c>
      <c r="B44" s="19">
        <v>5446.0</v>
      </c>
      <c r="C44" s="20">
        <v>1.0</v>
      </c>
      <c r="D44" s="19">
        <v>8048.0</v>
      </c>
      <c r="E44" s="6">
        <v>3.0</v>
      </c>
      <c r="G44" s="8"/>
    </row>
    <row r="45" ht="22.5" customHeight="1">
      <c r="A45" s="19" t="s">
        <v>90</v>
      </c>
      <c r="B45" s="19">
        <v>1254.0</v>
      </c>
      <c r="C45" s="20">
        <v>2.0</v>
      </c>
      <c r="D45" s="19">
        <v>1200.0</v>
      </c>
      <c r="E45" s="6">
        <v>5.0</v>
      </c>
      <c r="G45" s="8"/>
    </row>
    <row r="46" ht="22.5" customHeight="1">
      <c r="A46" s="19" t="s">
        <v>91</v>
      </c>
      <c r="B46" s="19"/>
      <c r="C46" s="20">
        <v>6.0</v>
      </c>
      <c r="D46" s="19">
        <v>1665.0</v>
      </c>
      <c r="E46" s="6">
        <v>5.0</v>
      </c>
      <c r="G46" s="8"/>
    </row>
    <row r="47" ht="22.5" customHeight="1">
      <c r="A47" s="19" t="s">
        <v>50</v>
      </c>
      <c r="B47" s="19"/>
      <c r="C47" s="20">
        <v>6.0</v>
      </c>
      <c r="D47" s="19">
        <v>1830.0</v>
      </c>
      <c r="E47" s="6">
        <v>7.0</v>
      </c>
      <c r="G47" s="8"/>
    </row>
    <row r="48" ht="22.5" customHeight="1">
      <c r="A48" s="19"/>
      <c r="B48" s="19"/>
      <c r="C48" s="21"/>
      <c r="D48" s="19"/>
      <c r="E48" s="10"/>
      <c r="G48" s="8"/>
    </row>
    <row r="49" ht="22.5" customHeight="1">
      <c r="A49" s="19"/>
      <c r="B49" s="19"/>
      <c r="C49" s="21"/>
      <c r="D49" s="19"/>
      <c r="E49" s="10"/>
      <c r="G49" s="8"/>
    </row>
    <row r="50" ht="22.5" customHeight="1">
      <c r="A50" s="19"/>
      <c r="B50" s="19"/>
      <c r="C50" s="21"/>
      <c r="D50" s="19"/>
      <c r="E50" s="10"/>
      <c r="G50" s="8"/>
    </row>
    <row r="51" ht="22.5" customHeight="1">
      <c r="A51" s="19"/>
      <c r="B51" s="19"/>
      <c r="C51" s="21"/>
      <c r="D51" s="19"/>
      <c r="E51" s="10"/>
      <c r="G51" s="8"/>
    </row>
    <row r="52" ht="22.5" customHeight="1">
      <c r="A52" s="22"/>
      <c r="B52" s="22"/>
      <c r="C52" s="22"/>
      <c r="D52" s="22"/>
      <c r="E52" s="22"/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</sheetData>
  <dataValidations>
    <dataValidation type="list" allowBlank="1" sqref="C2:C51">
      <formula1>"1,2,3,4,5,6,7,8,9,10"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38"/>
    <col customWidth="1" min="3" max="3" width="22.5"/>
    <col customWidth="1" min="4" max="10" width="18.88"/>
  </cols>
  <sheetData>
    <row r="1" ht="22.5" customHeight="1">
      <c r="A1" s="4" t="s">
        <v>30</v>
      </c>
      <c r="B1" s="5" t="s">
        <v>31</v>
      </c>
      <c r="C1" s="4" t="s">
        <v>32</v>
      </c>
      <c r="D1" s="4" t="s">
        <v>33</v>
      </c>
    </row>
    <row r="2" ht="22.5" customHeight="1">
      <c r="A2" s="6" t="s">
        <v>34</v>
      </c>
      <c r="B2" s="6">
        <v>798.0</v>
      </c>
      <c r="C2" s="7"/>
      <c r="D2" s="6"/>
    </row>
    <row r="3" ht="22.5" customHeight="1">
      <c r="A3" s="6" t="s">
        <v>35</v>
      </c>
      <c r="B3" s="6">
        <v>591.0</v>
      </c>
      <c r="C3" s="7"/>
      <c r="D3" s="6"/>
    </row>
    <row r="4" ht="22.5" customHeight="1">
      <c r="A4" s="6" t="s">
        <v>39</v>
      </c>
      <c r="B4" s="6">
        <v>903.0</v>
      </c>
      <c r="C4" s="7"/>
      <c r="D4" s="6"/>
    </row>
    <row r="5" ht="22.5" customHeight="1">
      <c r="A5" s="6" t="s">
        <v>41</v>
      </c>
      <c r="B5" s="6">
        <v>658.0</v>
      </c>
      <c r="C5" s="7"/>
      <c r="D5" s="6"/>
    </row>
    <row r="6" ht="22.5" customHeight="1">
      <c r="A6" s="6" t="s">
        <v>42</v>
      </c>
      <c r="B6" s="6">
        <v>728.0</v>
      </c>
      <c r="C6" s="7"/>
      <c r="D6" s="6"/>
    </row>
    <row r="7" ht="22.5" customHeight="1">
      <c r="A7" s="6" t="s">
        <v>44</v>
      </c>
      <c r="B7" s="6">
        <v>36.0</v>
      </c>
      <c r="C7" s="7"/>
      <c r="D7" s="6"/>
    </row>
    <row r="8" ht="22.5" customHeight="1">
      <c r="A8" s="6" t="s">
        <v>42</v>
      </c>
      <c r="B8" s="6">
        <v>200.0</v>
      </c>
      <c r="C8" s="7"/>
      <c r="D8" s="6"/>
    </row>
    <row r="9" ht="22.5" customHeight="1">
      <c r="A9" s="6" t="s">
        <v>47</v>
      </c>
      <c r="B9" s="6">
        <v>443.0</v>
      </c>
      <c r="C9" s="7"/>
      <c r="D9" s="6"/>
    </row>
    <row r="10" ht="22.5" customHeight="1">
      <c r="A10" s="6" t="s">
        <v>48</v>
      </c>
      <c r="B10" s="6">
        <v>538.0</v>
      </c>
      <c r="C10" s="7"/>
      <c r="D10" s="6"/>
    </row>
    <row r="11" ht="22.5" customHeight="1">
      <c r="A11" s="6" t="s">
        <v>50</v>
      </c>
      <c r="B11" s="6">
        <v>838.0</v>
      </c>
      <c r="C11" s="7"/>
      <c r="D11" s="6"/>
    </row>
    <row r="12" ht="22.5" customHeight="1">
      <c r="A12" s="6" t="s">
        <v>52</v>
      </c>
      <c r="B12" s="6">
        <v>57.0</v>
      </c>
      <c r="C12" s="7"/>
      <c r="D12" s="6"/>
    </row>
    <row r="13" ht="22.5" customHeight="1">
      <c r="A13" s="6" t="s">
        <v>54</v>
      </c>
      <c r="B13" s="6">
        <v>1382.0</v>
      </c>
      <c r="C13" s="7"/>
      <c r="D13" s="6"/>
    </row>
    <row r="14" ht="22.5" customHeight="1">
      <c r="A14" s="6" t="s">
        <v>56</v>
      </c>
      <c r="B14" s="6">
        <v>409.0</v>
      </c>
      <c r="C14" s="7"/>
      <c r="D14" s="6"/>
    </row>
    <row r="15" ht="22.5" customHeight="1">
      <c r="A15" s="6" t="s">
        <v>57</v>
      </c>
      <c r="B15" s="6">
        <v>1439.0</v>
      </c>
      <c r="C15" s="7"/>
      <c r="D15" s="6"/>
    </row>
    <row r="16" ht="22.5" customHeight="1">
      <c r="A16" s="6" t="s">
        <v>59</v>
      </c>
      <c r="B16" s="6">
        <v>859.0</v>
      </c>
      <c r="C16" s="7"/>
      <c r="D16" s="6"/>
    </row>
    <row r="17" ht="22.5" customHeight="1">
      <c r="A17" s="6" t="s">
        <v>61</v>
      </c>
      <c r="B17" s="6">
        <v>1034.0</v>
      </c>
      <c r="C17" s="7"/>
      <c r="D17" s="6"/>
    </row>
    <row r="18" ht="22.5" customHeight="1">
      <c r="A18" s="6" t="s">
        <v>62</v>
      </c>
      <c r="B18" s="6">
        <v>1579.0</v>
      </c>
      <c r="C18" s="7"/>
      <c r="D18" s="6"/>
    </row>
    <row r="19" ht="22.5" customHeight="1">
      <c r="A19" s="6" t="s">
        <v>63</v>
      </c>
      <c r="B19" s="6">
        <v>1933.0</v>
      </c>
      <c r="C19" s="7"/>
      <c r="D19" s="6"/>
    </row>
    <row r="20" ht="22.5" customHeight="1">
      <c r="A20" s="6" t="s">
        <v>64</v>
      </c>
      <c r="B20" s="6">
        <v>1283.0</v>
      </c>
      <c r="C20" s="7"/>
      <c r="D20" s="6"/>
    </row>
    <row r="21" ht="22.5" customHeight="1">
      <c r="A21" s="6" t="s">
        <v>66</v>
      </c>
      <c r="B21" s="6">
        <v>438.0</v>
      </c>
      <c r="C21" s="7"/>
      <c r="D21" s="6"/>
    </row>
    <row r="22" ht="22.5" customHeight="1">
      <c r="A22" s="6" t="s">
        <v>68</v>
      </c>
      <c r="B22" s="6">
        <v>811.0</v>
      </c>
      <c r="C22" s="7"/>
      <c r="D22" s="6"/>
    </row>
    <row r="23" ht="22.5" customHeight="1">
      <c r="A23" s="6" t="s">
        <v>14</v>
      </c>
      <c r="B23" s="6">
        <v>1459.0</v>
      </c>
      <c r="C23" s="7"/>
      <c r="D23" s="6"/>
    </row>
    <row r="24" ht="22.5" customHeight="1">
      <c r="A24" s="6">
        <v>66.0</v>
      </c>
      <c r="B24" s="6">
        <v>1580.0</v>
      </c>
      <c r="C24" s="7"/>
      <c r="D24" s="6"/>
    </row>
    <row r="25" ht="22.5" customHeight="1">
      <c r="A25" s="6" t="s">
        <v>70</v>
      </c>
      <c r="B25" s="6">
        <v>1757.0</v>
      </c>
      <c r="C25" s="7"/>
      <c r="D25" s="6"/>
    </row>
    <row r="26" ht="22.5" customHeight="1">
      <c r="A26" s="6" t="s">
        <v>71</v>
      </c>
      <c r="B26" s="6">
        <v>291.0</v>
      </c>
      <c r="C26" s="7"/>
      <c r="D26" s="6"/>
    </row>
    <row r="27" ht="22.5" customHeight="1">
      <c r="A27" s="6" t="s">
        <v>72</v>
      </c>
      <c r="B27" s="6">
        <v>1606.0</v>
      </c>
      <c r="C27" s="7"/>
      <c r="D27" s="6"/>
    </row>
    <row r="28" ht="22.5" customHeight="1">
      <c r="A28" s="6" t="s">
        <v>73</v>
      </c>
      <c r="B28" s="6">
        <v>343.0</v>
      </c>
      <c r="C28" s="7"/>
      <c r="D28" s="6"/>
    </row>
    <row r="29" ht="22.5" customHeight="1">
      <c r="A29" s="6" t="s">
        <v>74</v>
      </c>
      <c r="B29" s="6">
        <v>571.0</v>
      </c>
      <c r="C29" s="7"/>
      <c r="D29" s="6"/>
    </row>
    <row r="30" ht="22.5" customHeight="1">
      <c r="A30" s="6" t="s">
        <v>75</v>
      </c>
      <c r="B30" s="6">
        <v>682.0</v>
      </c>
      <c r="C30" s="7"/>
      <c r="D30" s="6"/>
    </row>
    <row r="31" ht="22.5" customHeight="1">
      <c r="A31" s="6" t="s">
        <v>76</v>
      </c>
      <c r="B31" s="6">
        <v>823.0</v>
      </c>
      <c r="C31" s="7"/>
      <c r="D31" s="6"/>
    </row>
    <row r="32" ht="22.5" customHeight="1">
      <c r="A32" s="6" t="s">
        <v>77</v>
      </c>
      <c r="B32" s="6">
        <v>456.0</v>
      </c>
      <c r="C32" s="7"/>
      <c r="D32" s="6"/>
    </row>
    <row r="33" ht="22.5" customHeight="1">
      <c r="A33" s="6" t="s">
        <v>78</v>
      </c>
      <c r="B33" s="6">
        <v>66.0</v>
      </c>
      <c r="C33" s="7"/>
      <c r="D33" s="6"/>
    </row>
    <row r="34" ht="22.5" customHeight="1">
      <c r="A34" s="6" t="s">
        <v>79</v>
      </c>
      <c r="B34" s="6">
        <v>2862.0</v>
      </c>
      <c r="C34" s="7"/>
      <c r="D34" s="6"/>
    </row>
    <row r="35" ht="22.5" customHeight="1">
      <c r="A35" s="6" t="s">
        <v>80</v>
      </c>
      <c r="B35" s="6">
        <v>2812.0</v>
      </c>
      <c r="C35" s="7"/>
      <c r="D35" s="6"/>
    </row>
    <row r="36" ht="22.5" customHeight="1">
      <c r="A36" s="6" t="s">
        <v>92</v>
      </c>
      <c r="B36" s="6">
        <v>1558.0</v>
      </c>
      <c r="C36" s="7"/>
      <c r="D36" s="6"/>
    </row>
    <row r="37" ht="22.5" customHeight="1">
      <c r="A37" s="19" t="s">
        <v>93</v>
      </c>
      <c r="B37" s="19">
        <v>579.0</v>
      </c>
      <c r="C37" s="21"/>
      <c r="D37" s="19"/>
    </row>
    <row r="38" ht="22.5" customHeight="1">
      <c r="A38" s="19" t="s">
        <v>83</v>
      </c>
      <c r="B38" s="19">
        <v>47.0</v>
      </c>
      <c r="C38" s="21"/>
      <c r="D38" s="19"/>
    </row>
    <row r="39" ht="22.5" customHeight="1">
      <c r="A39" s="19" t="s">
        <v>84</v>
      </c>
      <c r="B39" s="19">
        <v>1000.0</v>
      </c>
      <c r="C39" s="21"/>
      <c r="D39" s="19"/>
    </row>
    <row r="40" ht="22.5" customHeight="1">
      <c r="A40" s="19" t="s">
        <v>85</v>
      </c>
      <c r="B40" s="19">
        <v>1001.0</v>
      </c>
      <c r="C40" s="21"/>
      <c r="D40" s="19"/>
    </row>
    <row r="41" ht="22.5" customHeight="1">
      <c r="A41" s="19" t="s">
        <v>94</v>
      </c>
      <c r="B41" s="19">
        <v>1322.0</v>
      </c>
      <c r="C41" s="21"/>
      <c r="D41" s="19"/>
    </row>
    <row r="42" ht="22.5" customHeight="1">
      <c r="A42" s="19" t="s">
        <v>87</v>
      </c>
      <c r="B42" s="19">
        <v>5964.0</v>
      </c>
      <c r="C42" s="21"/>
      <c r="D42" s="19"/>
    </row>
    <row r="43" ht="22.5" customHeight="1">
      <c r="A43" s="19" t="s">
        <v>88</v>
      </c>
      <c r="B43" s="19">
        <v>3520.0</v>
      </c>
      <c r="C43" s="21"/>
      <c r="D43" s="19"/>
    </row>
    <row r="44" ht="22.5" customHeight="1">
      <c r="A44" s="19" t="s">
        <v>89</v>
      </c>
      <c r="B44" s="19">
        <v>5446.0</v>
      </c>
      <c r="C44" s="21"/>
      <c r="D44" s="19"/>
    </row>
    <row r="45" ht="22.5" customHeight="1">
      <c r="A45" s="19" t="s">
        <v>90</v>
      </c>
      <c r="B45" s="19">
        <v>1.254810934E9</v>
      </c>
      <c r="C45" s="21"/>
      <c r="D45" s="19"/>
    </row>
    <row r="46" ht="22.5" customHeight="1">
      <c r="A46" s="19"/>
      <c r="B46" s="19"/>
      <c r="C46" s="21"/>
      <c r="D46" s="19"/>
    </row>
    <row r="47" ht="22.5" customHeight="1">
      <c r="A47" s="19"/>
      <c r="B47" s="19"/>
      <c r="C47" s="21"/>
      <c r="D47" s="19"/>
    </row>
    <row r="48" ht="22.5" customHeight="1">
      <c r="A48" s="19"/>
      <c r="B48" s="19"/>
      <c r="C48" s="21"/>
      <c r="D48" s="19"/>
    </row>
    <row r="49" ht="22.5" customHeight="1">
      <c r="A49" s="19"/>
      <c r="B49" s="19"/>
      <c r="C49" s="21"/>
      <c r="D49" s="19"/>
    </row>
    <row r="50" ht="22.5" customHeight="1">
      <c r="A50" s="19"/>
      <c r="B50" s="19"/>
      <c r="C50" s="21"/>
      <c r="D50" s="19"/>
    </row>
    <row r="51" ht="22.5" customHeight="1">
      <c r="A51" s="19"/>
      <c r="B51" s="19"/>
      <c r="C51" s="21"/>
      <c r="D51" s="19"/>
    </row>
  </sheetData>
  <dataValidations>
    <dataValidation type="list" allowBlank="1" sqref="C2:C51">
      <formula1>"1,2,3,4,5,6,7,8,9,10"</formula1>
    </dataValidation>
  </dataValidations>
  <drawing r:id="rId1"/>
  <tableParts count="1">
    <tablePart r:id="rId3"/>
  </tableParts>
</worksheet>
</file>