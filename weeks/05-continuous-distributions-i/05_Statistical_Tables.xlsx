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F6181EA2-8E98-4C12-85C0-1A17481F9780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標準正規分布表" sheetId="10" r:id="rId1"/>
    <sheet name="t分布表" sheetId="1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M41" i="10" l="1"/>
  <c r="L41" i="10"/>
  <c r="K41" i="10"/>
  <c r="J41" i="10"/>
  <c r="I41" i="10"/>
  <c r="H41" i="10"/>
  <c r="G41" i="10"/>
  <c r="F41" i="10"/>
  <c r="E41" i="10"/>
  <c r="D41" i="10"/>
  <c r="M40" i="10"/>
  <c r="L40" i="10"/>
  <c r="K40" i="10"/>
  <c r="J40" i="10"/>
  <c r="I40" i="10"/>
  <c r="H40" i="10"/>
  <c r="G40" i="10"/>
  <c r="F40" i="10"/>
  <c r="E40" i="10"/>
  <c r="D40" i="10"/>
  <c r="M39" i="10"/>
  <c r="L39" i="10"/>
  <c r="K39" i="10"/>
  <c r="J39" i="10"/>
  <c r="I39" i="10"/>
  <c r="H39" i="10"/>
  <c r="G39" i="10"/>
  <c r="F39" i="10"/>
  <c r="E39" i="10"/>
  <c r="D39" i="10"/>
  <c r="M38" i="10"/>
  <c r="L38" i="10"/>
  <c r="K38" i="10"/>
  <c r="J38" i="10"/>
  <c r="I38" i="10"/>
  <c r="H38" i="10"/>
  <c r="G38" i="10"/>
  <c r="F38" i="10"/>
  <c r="E38" i="10"/>
  <c r="D38" i="10"/>
  <c r="M37" i="10"/>
  <c r="L37" i="10"/>
  <c r="K37" i="10"/>
  <c r="J37" i="10"/>
  <c r="I37" i="10"/>
  <c r="H37" i="10"/>
  <c r="G37" i="10"/>
  <c r="F37" i="10"/>
  <c r="E37" i="10"/>
  <c r="D37" i="10"/>
  <c r="M35" i="10"/>
  <c r="L35" i="10"/>
  <c r="K35" i="10"/>
  <c r="J35" i="10"/>
  <c r="I35" i="10"/>
  <c r="H35" i="10"/>
  <c r="G35" i="10"/>
  <c r="F35" i="10"/>
  <c r="E35" i="10"/>
  <c r="D35" i="10"/>
  <c r="M34" i="10"/>
  <c r="L34" i="10"/>
  <c r="K34" i="10"/>
  <c r="J34" i="10"/>
  <c r="I34" i="10"/>
  <c r="H34" i="10"/>
  <c r="G34" i="10"/>
  <c r="F34" i="10"/>
  <c r="E34" i="10"/>
  <c r="D34" i="10"/>
  <c r="M33" i="10"/>
  <c r="L33" i="10"/>
  <c r="K33" i="10"/>
  <c r="J33" i="10"/>
  <c r="I33" i="10"/>
  <c r="H33" i="10"/>
  <c r="G33" i="10"/>
  <c r="F33" i="10"/>
  <c r="E33" i="10"/>
  <c r="D33" i="10"/>
  <c r="M32" i="10"/>
  <c r="L32" i="10"/>
  <c r="K32" i="10"/>
  <c r="J32" i="10"/>
  <c r="I32" i="10"/>
  <c r="H32" i="10"/>
  <c r="G32" i="10"/>
  <c r="F32" i="10"/>
  <c r="E32" i="10"/>
  <c r="D32" i="10"/>
  <c r="M31" i="10"/>
  <c r="L31" i="10"/>
  <c r="K31" i="10"/>
  <c r="J31" i="10"/>
  <c r="I31" i="10"/>
  <c r="H31" i="10"/>
  <c r="G31" i="10"/>
  <c r="F31" i="10"/>
  <c r="E31" i="10"/>
  <c r="D31" i="10"/>
  <c r="M29" i="10"/>
  <c r="L29" i="10"/>
  <c r="K29" i="10"/>
  <c r="J29" i="10"/>
  <c r="I29" i="10"/>
  <c r="H29" i="10"/>
  <c r="G29" i="10"/>
  <c r="F29" i="10"/>
  <c r="E29" i="10"/>
  <c r="D29" i="10"/>
  <c r="M28" i="10"/>
  <c r="L28" i="10"/>
  <c r="K28" i="10"/>
  <c r="J28" i="10"/>
  <c r="I28" i="10"/>
  <c r="H28" i="10"/>
  <c r="G28" i="10"/>
  <c r="F28" i="10"/>
  <c r="E28" i="10"/>
  <c r="D28" i="10"/>
  <c r="M27" i="10"/>
  <c r="L27" i="10"/>
  <c r="K27" i="10"/>
  <c r="J27" i="10"/>
  <c r="I27" i="10"/>
  <c r="H27" i="10"/>
  <c r="G27" i="10"/>
  <c r="F27" i="10"/>
  <c r="E27" i="10"/>
  <c r="D27" i="10"/>
  <c r="M26" i="10"/>
  <c r="L26" i="10"/>
  <c r="K26" i="10"/>
  <c r="J26" i="10"/>
  <c r="I26" i="10"/>
  <c r="H26" i="10"/>
  <c r="G26" i="10"/>
  <c r="F26" i="10"/>
  <c r="E26" i="10"/>
  <c r="D26" i="10"/>
  <c r="M25" i="10"/>
  <c r="L25" i="10"/>
  <c r="K25" i="10"/>
  <c r="J25" i="10"/>
  <c r="I25" i="10"/>
  <c r="H25" i="10"/>
  <c r="G25" i="10"/>
  <c r="F25" i="10"/>
  <c r="E25" i="10"/>
  <c r="D25" i="10"/>
  <c r="M23" i="10"/>
  <c r="L23" i="10"/>
  <c r="K23" i="10"/>
  <c r="J23" i="10"/>
  <c r="I23" i="10"/>
  <c r="H23" i="10"/>
  <c r="G23" i="10"/>
  <c r="F23" i="10"/>
  <c r="E23" i="10"/>
  <c r="D23" i="10"/>
  <c r="M22" i="10"/>
  <c r="L22" i="10"/>
  <c r="K22" i="10"/>
  <c r="J22" i="10"/>
  <c r="I22" i="10"/>
  <c r="H22" i="10"/>
  <c r="G22" i="10"/>
  <c r="F22" i="10"/>
  <c r="E22" i="10"/>
  <c r="D22" i="10"/>
  <c r="M21" i="10"/>
  <c r="L21" i="10"/>
  <c r="K21" i="10"/>
  <c r="J21" i="10"/>
  <c r="I21" i="10"/>
  <c r="H21" i="10"/>
  <c r="G21" i="10"/>
  <c r="F21" i="10"/>
  <c r="E21" i="10"/>
  <c r="D21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D15" i="10"/>
  <c r="M14" i="10"/>
  <c r="L14" i="10"/>
  <c r="K14" i="10"/>
  <c r="J14" i="10"/>
  <c r="I14" i="10"/>
  <c r="H14" i="10"/>
  <c r="G14" i="10"/>
  <c r="F14" i="10"/>
  <c r="E14" i="10"/>
  <c r="D14" i="10"/>
  <c r="M13" i="10"/>
  <c r="L13" i="10"/>
  <c r="K13" i="10"/>
  <c r="J13" i="10"/>
  <c r="I13" i="10"/>
  <c r="H13" i="10"/>
  <c r="G13" i="10"/>
  <c r="F13" i="10"/>
  <c r="E13" i="10"/>
  <c r="D13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<sst xmlns="http://schemas.openxmlformats.org/spreadsheetml/2006/main" count="6" uniqueCount="6">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</sst>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.0"/>
    <numFmt numFmtId="180" formatCode="0.000"/>
    <numFmt numFmtId="181" formatCode="0.0000"/>
    <numFmt numFmtId="182" formatCode="0.00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9" fontId="3" fillId="2" borderId="3" xfId="0" applyNumberFormat="1" applyFont="1" applyFill="1" applyBorder="1" applyAlignment="1">
      <alignment horizontal="center" vertical="center"/>
    </xf>
    <xf numFmtId="182" fontId="3" fillId="0" borderId="4" xfId="0" applyNumberFormat="1" applyFont="1" applyBorder="1">
      <alignment vertical="center"/>
    </xf>
    <xf numFmtId="182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79" fontId="3" fillId="2" borderId="6" xfId="0" applyNumberFormat="1" applyFont="1" applyFill="1" applyBorder="1" applyAlignment="1">
      <alignment horizontal="center" vertical="center"/>
    </xf>
    <xf numFmtId="182" fontId="3" fillId="0" borderId="7" xfId="0" applyNumberFormat="1" applyFont="1" applyBorder="1">
      <alignment vertical="center"/>
    </xf>
    <xf numFmtId="182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180" fontId="3" fillId="2" borderId="16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81" fontId="3" fillId="2" borderId="2" xfId="0" applyNumberFormat="1" applyFont="1" applyFill="1" applyBorder="1" applyAlignment="1">
      <alignment horizontal="center" vertical="center"/>
    </xf>
    <xf numFmtId="181" fontId="3" fillId="2" borderId="17" xfId="0" applyNumberFormat="1" applyFont="1" applyFill="1" applyBorder="1" applyAlignment="1">
      <alignment horizontal="center" vertical="center"/>
    </xf>
    <xf numFmtId="181" fontId="3" fillId="0" borderId="22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C2:M42"/>
  <sheetViews>
    <sheetView showGridLines="0" tabSelected="1" zoomScale="70" zoomScaleNormal="70" workbookViewId="0"/>
  </sheetViews>
  <sheetFormatPr defaultRowHeight="15" customHeight="1" x14ac:dyDescent="0.55000000000000004"/>
  <cols>
    <col min="1" max="1" width="8.6640625" style="1"/>
    <col min="2" max="2" width="3.58203125" style="1" customWidth="1"/>
    <col min="3" max="13" width="8.6640625" style="1"/>
    <col min="14" max="14" width="3.58203125" style="1" customWidth="1"/>
    <col min="15" max="16384" width="8.6640625" style="1"/>
  </cols>
  <sheetData>
    <row r="2" spans="3:13" ht="15" customHeight="1" x14ac:dyDescent="0.55000000000000004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3:13" ht="15" customHeight="1" thickBot="1" x14ac:dyDescent="0.6"/>
    <row r="4" spans="3:13" ht="15" customHeight="1" thickTop="1" x14ac:dyDescent="0.55000000000000004">
      <c r="C4" s="11" t="s">
        <v>0</v>
      </c>
      <c r="D4" s="12">
        <v>0</v>
      </c>
      <c r="E4" s="12">
        <v>0.01</v>
      </c>
      <c r="F4" s="12">
        <v>0.02</v>
      </c>
      <c r="G4" s="12">
        <v>0.03</v>
      </c>
      <c r="H4" s="12">
        <v>0.04</v>
      </c>
      <c r="I4" s="12">
        <v>0.05</v>
      </c>
      <c r="J4" s="12">
        <v>0.06</v>
      </c>
      <c r="K4" s="12">
        <v>7.0000000000000007E-2</v>
      </c>
      <c r="L4" s="12">
        <v>0.08</v>
      </c>
      <c r="M4" s="13">
        <v>0.09</v>
      </c>
    </row>
    <row r="5" spans="3:13" ht="15" customHeight="1" x14ac:dyDescent="0.55000000000000004">
      <c r="C5" s="3">
        <v>0</v>
      </c>
      <c r="D5" s="4">
        <f>1-_xlfn.NORM.DIST($C5+D$4,0,1,TRUE)</f>
        <v>0.5</v>
      </c>
      <c r="E5" s="4">
        <f>1-_xlfn.NORM.DIST($C5+E$4,0,1,TRUE)</f>
        <v>0.4960106436853684</v>
      </c>
      <c r="F5" s="4">
        <f>1-_xlfn.NORM.DIST($C5+F$4,0,1,TRUE)</f>
        <v>0.49202168628309795</v>
      </c>
      <c r="G5" s="4">
        <f>1-_xlfn.NORM.DIST($C5+G$4,0,1,TRUE)</f>
        <v>0.48803352658588728</v>
      </c>
      <c r="H5" s="4">
        <f>1-_xlfn.NORM.DIST($C5+H$4,0,1,TRUE)</f>
        <v>0.48404656314716932</v>
      </c>
      <c r="I5" s="4">
        <f>1-_xlfn.NORM.DIST($C5+I$4,0,1,TRUE)</f>
        <v>0.48006119416162751</v>
      </c>
      <c r="J5" s="4">
        <f>1-_xlfn.NORM.DIST($C5+J$4,0,1,TRUE)</f>
        <v>0.47607781734589316</v>
      </c>
      <c r="K5" s="4">
        <f>1-_xlfn.NORM.DIST($C5+K$4,0,1,TRUE)</f>
        <v>0.47209682981947887</v>
      </c>
      <c r="L5" s="4">
        <f>1-_xlfn.NORM.DIST($C5+L$4,0,1,TRUE)</f>
        <v>0.46811862798601256</v>
      </c>
      <c r="M5" s="5">
        <f>1-_xlfn.NORM.DIST($C5+M$4,0,1,TRUE)</f>
        <v>0.46414360741482796</v>
      </c>
    </row>
    <row r="6" spans="3:13" ht="15" customHeight="1" x14ac:dyDescent="0.55000000000000004">
      <c r="C6" s="3"/>
      <c r="D6" s="6"/>
      <c r="E6" s="6"/>
      <c r="F6" s="6"/>
      <c r="G6" s="6"/>
      <c r="H6" s="6"/>
      <c r="I6" s="6"/>
      <c r="J6" s="6"/>
      <c r="K6" s="6"/>
      <c r="L6" s="6"/>
      <c r="M6" s="7"/>
    </row>
    <row r="7" spans="3:13" ht="15" customHeight="1" x14ac:dyDescent="0.55000000000000004">
      <c r="C7" s="3">
        <v>0.1</v>
      </c>
      <c r="D7" s="4">
        <f>1-_xlfn.NORM.DIST($C7+D$4,0,1,TRUE)</f>
        <v>0.46017216272297101</v>
      </c>
      <c r="E7" s="4">
        <f>1-_xlfn.NORM.DIST($C7+E$4,0,1,TRUE)</f>
        <v>0.45620468745768328</v>
      </c>
      <c r="F7" s="4">
        <f>1-_xlfn.NORM.DIST($C7+F$4,0,1,TRUE)</f>
        <v>0.45224157397941611</v>
      </c>
      <c r="G7" s="4">
        <f>1-_xlfn.NORM.DIST($C7+G$4,0,1,TRUE)</f>
        <v>0.44828321334543886</v>
      </c>
      <c r="H7" s="4">
        <f>1-_xlfn.NORM.DIST($C7+H$4,0,1,TRUE)</f>
        <v>0.44432999519409355</v>
      </c>
      <c r="I7" s="4">
        <f>1-_xlfn.NORM.DIST($C7+I$4,0,1,TRUE)</f>
        <v>0.4403823076297575</v>
      </c>
      <c r="J7" s="4">
        <f>1-_xlfn.NORM.DIST($C7+J$4,0,1,TRUE)</f>
        <v>0.43644053710856712</v>
      </c>
      <c r="K7" s="4">
        <f>1-_xlfn.NORM.DIST($C7+K$4,0,1,TRUE)</f>
        <v>0.43250506832496161</v>
      </c>
      <c r="L7" s="4">
        <f>1-_xlfn.NORM.DIST($C7+L$4,0,1,TRUE)</f>
        <v>0.4285762840990992</v>
      </c>
      <c r="M7" s="5">
        <f>1-_xlfn.NORM.DIST($C7+M$4,0,1,TRUE)</f>
        <v>0.42465456526520451</v>
      </c>
    </row>
    <row r="8" spans="3:13" ht="15" customHeight="1" x14ac:dyDescent="0.55000000000000004">
      <c r="C8" s="3">
        <v>0.2</v>
      </c>
      <c r="D8" s="4">
        <f>1-_xlfn.NORM.DIST($C8+D$4,0,1,TRUE)</f>
        <v>0.42074029056089701</v>
      </c>
      <c r="E8" s="4">
        <f>1-_xlfn.NORM.DIST($C8+E$4,0,1,TRUE)</f>
        <v>0.41683383651755768</v>
      </c>
      <c r="F8" s="4">
        <f>1-_xlfn.NORM.DIST($C8+F$4,0,1,TRUE)</f>
        <v>0.41293557735178532</v>
      </c>
      <c r="G8" s="4">
        <f>1-_xlfn.NORM.DIST($C8+G$4,0,1,TRUE)</f>
        <v>0.40904588485799409</v>
      </c>
      <c r="H8" s="4">
        <f>1-_xlfn.NORM.DIST($C8+H$4,0,1,TRUE)</f>
        <v>0.40516512830220419</v>
      </c>
      <c r="I8" s="4">
        <f>1-_xlfn.NORM.DIST($C8+I$4,0,1,TRUE)</f>
        <v>0.4012936743170763</v>
      </c>
      <c r="J8" s="4">
        <f>1-_xlfn.NORM.DIST($C8+J$4,0,1,TRUE)</f>
        <v>0.39743188679823949</v>
      </c>
      <c r="K8" s="4">
        <f>1-_xlfn.NORM.DIST($C8+K$4,0,1,TRUE)</f>
        <v>0.39358012680196053</v>
      </c>
      <c r="L8" s="4">
        <f>1-_xlfn.NORM.DIST($C8+L$4,0,1,TRUE)</f>
        <v>0.38973875244420275</v>
      </c>
      <c r="M8" s="5">
        <f>1-_xlfn.NORM.DIST($C8+M$4,0,1,TRUE)</f>
        <v>0.38590811880112263</v>
      </c>
    </row>
    <row r="9" spans="3:13" ht="15" customHeight="1" x14ac:dyDescent="0.55000000000000004">
      <c r="C9" s="3">
        <v>0.3</v>
      </c>
      <c r="D9" s="4">
        <f>1-_xlfn.NORM.DIST($C9+D$4,0,1,TRUE)</f>
        <v>0.38208857781104733</v>
      </c>
      <c r="E9" s="4">
        <f>1-_xlfn.NORM.DIST($C9+E$4,0,1,TRUE)</f>
        <v>0.37828047817798072</v>
      </c>
      <c r="F9" s="4">
        <f>1-_xlfn.NORM.DIST($C9+F$4,0,1,TRUE)</f>
        <v>0.37448416527667994</v>
      </c>
      <c r="G9" s="4">
        <f>1-_xlfn.NORM.DIST($C9+G$4,0,1,TRUE)</f>
        <v>0.37069998105934654</v>
      </c>
      <c r="H9" s="4">
        <f>1-_xlfn.NORM.DIST($C9+H$4,0,1,TRUE)</f>
        <v>0.36692826396397193</v>
      </c>
      <c r="I9" s="4">
        <f>1-_xlfn.NORM.DIST($C9+I$4,0,1,TRUE)</f>
        <v>0.3631693488243809</v>
      </c>
      <c r="J9" s="4">
        <f>1-_xlfn.NORM.DIST($C9+J$4,0,1,TRUE)</f>
        <v>0.35942356678200871</v>
      </c>
      <c r="K9" s="4">
        <f>1-_xlfn.NORM.DIST($C9+K$4,0,1,TRUE)</f>
        <v>0.35569124519945317</v>
      </c>
      <c r="L9" s="4">
        <f>1-_xlfn.NORM.DIST($C9+L$4,0,1,TRUE)</f>
        <v>0.35197270757583721</v>
      </c>
      <c r="M9" s="5">
        <f>1-_xlfn.NORM.DIST($C9+M$4,0,1,TRUE)</f>
        <v>0.34826827346401756</v>
      </c>
    </row>
    <row r="10" spans="3:13" ht="15" customHeight="1" x14ac:dyDescent="0.55000000000000004">
      <c r="C10" s="3">
        <v>0.4</v>
      </c>
      <c r="D10" s="4">
        <f>1-_xlfn.NORM.DIST($C10+D$4,0,1,TRUE)</f>
        <v>0.34457825838967571</v>
      </c>
      <c r="E10" s="4">
        <f>1-_xlfn.NORM.DIST($C10+E$4,0,1,TRUE)</f>
        <v>0.34090297377232259</v>
      </c>
      <c r="F10" s="4">
        <f>1-_xlfn.NORM.DIST($C10+F$4,0,1,TRUE)</f>
        <v>0.33724272684824941</v>
      </c>
      <c r="G10" s="4">
        <f>1-_xlfn.NORM.DIST($C10+G$4,0,1,TRUE)</f>
        <v>0.33359782059545762</v>
      </c>
      <c r="H10" s="4">
        <f>1-_xlfn.NORM.DIST($C10+H$4,0,1,TRUE)</f>
        <v>0.32996855366059363</v>
      </c>
      <c r="I10" s="4">
        <f>1-_xlfn.NORM.DIST($C10+I$4,0,1,TRUE)</f>
        <v>0.32635522028791997</v>
      </c>
      <c r="J10" s="4">
        <f>1-_xlfn.NORM.DIST($C10+J$4,0,1,TRUE)</f>
        <v>0.32275811025034773</v>
      </c>
      <c r="K10" s="4">
        <f>1-_xlfn.NORM.DIST($C10+K$4,0,1,TRUE)</f>
        <v>0.3191775087825558</v>
      </c>
      <c r="L10" s="4">
        <f>1-_xlfn.NORM.DIST($C10+L$4,0,1,TRUE)</f>
        <v>0.31561369651622251</v>
      </c>
      <c r="M10" s="5">
        <f>1-_xlfn.NORM.DIST($C10+M$4,0,1,TRUE)</f>
        <v>0.31206694941739055</v>
      </c>
    </row>
    <row r="11" spans="3:13" ht="15" customHeight="1" x14ac:dyDescent="0.55000000000000004">
      <c r="C11" s="3">
        <v>0.5</v>
      </c>
      <c r="D11" s="4">
        <f>1-_xlfn.NORM.DIST($C11+D$4,0,1,TRUE)</f>
        <v>0.30853753872598688</v>
      </c>
      <c r="E11" s="4">
        <f>1-_xlfn.NORM.DIST($C11+E$4,0,1,TRUE)</f>
        <v>0.30502573089751939</v>
      </c>
      <c r="F11" s="4">
        <f>1-_xlfn.NORM.DIST($C11+F$4,0,1,TRUE)</f>
        <v>0.30153178754696619</v>
      </c>
      <c r="G11" s="4">
        <f>1-_xlfn.NORM.DIST($C11+G$4,0,1,TRUE)</f>
        <v>0.29805596539487644</v>
      </c>
      <c r="H11" s="4">
        <f>1-_xlfn.NORM.DIST($C11+H$4,0,1,TRUE)</f>
        <v>0.29459851621569799</v>
      </c>
      <c r="I11" s="4">
        <f>1-_xlfn.NORM.DIST($C11+I$4,0,1,TRUE)</f>
        <v>0.29115968678834636</v>
      </c>
      <c r="J11" s="4">
        <f>1-_xlfn.NORM.DIST($C11+J$4,0,1,TRUE)</f>
        <v>0.28773971884902705</v>
      </c>
      <c r="K11" s="4">
        <f>1-_xlfn.NORM.DIST($C11+K$4,0,1,TRUE)</f>
        <v>0.28433884904632412</v>
      </c>
      <c r="L11" s="4">
        <f>1-_xlfn.NORM.DIST($C11+L$4,0,1,TRUE)</f>
        <v>0.2809573088985643</v>
      </c>
      <c r="M11" s="5">
        <f>1-_xlfn.NORM.DIST($C11+M$4,0,1,TRUE)</f>
        <v>0.27759532475346493</v>
      </c>
    </row>
    <row r="12" spans="3:13" ht="15" customHeight="1" x14ac:dyDescent="0.55000000000000004">
      <c r="C12" s="3"/>
      <c r="D12" s="6"/>
      <c r="E12" s="6"/>
      <c r="F12" s="6"/>
      <c r="G12" s="6"/>
      <c r="H12" s="6"/>
      <c r="I12" s="6"/>
      <c r="J12" s="6"/>
      <c r="K12" s="6"/>
      <c r="L12" s="6"/>
      <c r="M12" s="7"/>
    </row>
    <row r="13" spans="3:13" ht="15" customHeight="1" x14ac:dyDescent="0.55000000000000004">
      <c r="C13" s="3">
        <v>0.6</v>
      </c>
      <c r="D13" s="4">
        <f>1-_xlfn.NORM.DIST($C13+D$4,0,1,TRUE)</f>
        <v>0.27425311775007355</v>
      </c>
      <c r="E13" s="4">
        <f>1-_xlfn.NORM.DIST($C13+E$4,0,1,TRUE)</f>
        <v>0.27093090378300566</v>
      </c>
      <c r="F13" s="4">
        <f>1-_xlfn.NORM.DIST($C13+F$4,0,1,TRUE)</f>
        <v>0.267628893468983</v>
      </c>
      <c r="G13" s="4">
        <f>1-_xlfn.NORM.DIST($C13+G$4,0,1,TRUE)</f>
        <v>0.26434729211567753</v>
      </c>
      <c r="H13" s="4">
        <f>1-_xlfn.NORM.DIST($C13+H$4,0,1,TRUE)</f>
        <v>0.26108629969286157</v>
      </c>
      <c r="I13" s="4">
        <f>1-_xlfn.NORM.DIST($C13+I$4,0,1,TRUE)</f>
        <v>0.25784611080586473</v>
      </c>
      <c r="J13" s="4">
        <f>1-_xlfn.NORM.DIST($C13+J$4,0,1,TRUE)</f>
        <v>0.25462691467133614</v>
      </c>
      <c r="K13" s="4">
        <f>1-_xlfn.NORM.DIST($C13+K$4,0,1,TRUE)</f>
        <v>0.25142889509531008</v>
      </c>
      <c r="L13" s="4">
        <f>1-_xlfn.NORM.DIST($C13+L$4,0,1,TRUE)</f>
        <v>0.24825223045357048</v>
      </c>
      <c r="M13" s="5">
        <f>1-_xlfn.NORM.DIST($C13+M$4,0,1,TRUE)</f>
        <v>0.24509709367430943</v>
      </c>
    </row>
    <row r="14" spans="3:13" ht="15" customHeight="1" x14ac:dyDescent="0.55000000000000004">
      <c r="C14" s="3">
        <v>0.7</v>
      </c>
      <c r="D14" s="4">
        <f>1-_xlfn.NORM.DIST($C14+D$4,0,1,TRUE)</f>
        <v>0.24196365222307303</v>
      </c>
      <c r="E14" s="4">
        <f>1-_xlfn.NORM.DIST($C14+E$4,0,1,TRUE)</f>
        <v>0.23885206808998671</v>
      </c>
      <c r="F14" s="4">
        <f>1-_xlfn.NORM.DIST($C14+F$4,0,1,TRUE)</f>
        <v>0.23576249777925118</v>
      </c>
      <c r="G14" s="4">
        <f>1-_xlfn.NORM.DIST($C14+G$4,0,1,TRUE)</f>
        <v>0.23269509230089747</v>
      </c>
      <c r="H14" s="4">
        <f>1-_xlfn.NORM.DIST($C14+H$4,0,1,TRUE)</f>
        <v>0.22964999716479062</v>
      </c>
      <c r="I14" s="4">
        <f>1-_xlfn.NORM.DIST($C14+I$4,0,1,TRUE)</f>
        <v>0.22662735237686826</v>
      </c>
      <c r="J14" s="4">
        <f>1-_xlfn.NORM.DIST($C14+J$4,0,1,TRUE)</f>
        <v>0.22362729243759938</v>
      </c>
      <c r="K14" s="4">
        <f>1-_xlfn.NORM.DIST($C14+K$4,0,1,TRUE)</f>
        <v>0.22064994634264956</v>
      </c>
      <c r="L14" s="4">
        <f>1-_xlfn.NORM.DIST($C14+L$4,0,1,TRUE)</f>
        <v>0.21769543758573318</v>
      </c>
      <c r="M14" s="5">
        <f>1-_xlfn.NORM.DIST($C14+M$4,0,1,TRUE)</f>
        <v>0.21476388416363723</v>
      </c>
    </row>
    <row r="15" spans="3:13" ht="15" customHeight="1" x14ac:dyDescent="0.55000000000000004">
      <c r="C15" s="3">
        <v>0.8</v>
      </c>
      <c r="D15" s="4">
        <f>1-_xlfn.NORM.DIST($C15+D$4,0,1,TRUE)</f>
        <v>0.21185539858339664</v>
      </c>
      <c r="E15" s="4">
        <f>1-_xlfn.NORM.DIST($C15+E$4,0,1,TRUE)</f>
        <v>0.20897008787160165</v>
      </c>
      <c r="F15" s="4">
        <f>1-_xlfn.NORM.DIST($C15+F$4,0,1,TRUE)</f>
        <v>0.20610805358581308</v>
      </c>
      <c r="G15" s="4">
        <f>1-_xlfn.NORM.DIST($C15+G$4,0,1,TRUE)</f>
        <v>0.20326939182806836</v>
      </c>
      <c r="H15" s="4">
        <f>1-_xlfn.NORM.DIST($C15+H$4,0,1,TRUE)</f>
        <v>0.20045419326044966</v>
      </c>
      <c r="I15" s="4">
        <f>1-_xlfn.NORM.DIST($C15+I$4,0,1,TRUE)</f>
        <v>0.19766254312269238</v>
      </c>
      <c r="J15" s="4">
        <f>1-_xlfn.NORM.DIST($C15+J$4,0,1,TRUE)</f>
        <v>0.19489452125180828</v>
      </c>
      <c r="K15" s="4">
        <f>1-_xlfn.NORM.DIST($C15+K$4,0,1,TRUE)</f>
        <v>0.19215020210369615</v>
      </c>
      <c r="L15" s="4">
        <f>1-_xlfn.NORM.DIST($C15+L$4,0,1,TRUE)</f>
        <v>0.18942965477671214</v>
      </c>
      <c r="M15" s="5">
        <f>1-_xlfn.NORM.DIST($C15+M$4,0,1,TRUE)</f>
        <v>0.18673294303717258</v>
      </c>
    </row>
    <row r="16" spans="3:13" ht="15" customHeight="1" x14ac:dyDescent="0.55000000000000004">
      <c r="C16" s="3">
        <v>0.9</v>
      </c>
      <c r="D16" s="4">
        <f>1-_xlfn.NORM.DIST($C16+D$4,0,1,TRUE)</f>
        <v>0.18406012534675953</v>
      </c>
      <c r="E16" s="4">
        <f>1-_xlfn.NORM.DIST($C16+E$4,0,1,TRUE)</f>
        <v>0.18141125489179721</v>
      </c>
      <c r="F16" s="4">
        <f>1-_xlfn.NORM.DIST($C16+F$4,0,1,TRUE)</f>
        <v>0.17878637961437172</v>
      </c>
      <c r="G16" s="4">
        <f>1-_xlfn.NORM.DIST($C16+G$4,0,1,TRUE)</f>
        <v>0.17618554224525784</v>
      </c>
      <c r="H16" s="4">
        <f>1-_xlfn.NORM.DIST($C16+H$4,0,1,TRUE)</f>
        <v>0.17360878033862448</v>
      </c>
      <c r="I16" s="4">
        <f>1-_xlfn.NORM.DIST($C16+I$4,0,1,TRUE)</f>
        <v>0.17105612630848177</v>
      </c>
      <c r="J16" s="4">
        <f>1-_xlfn.NORM.DIST($C16+J$4,0,1,TRUE)</f>
        <v>0.16852760746683781</v>
      </c>
      <c r="K16" s="4">
        <f>1-_xlfn.NORM.DIST($C16+K$4,0,1,TRUE)</f>
        <v>0.16602324606352958</v>
      </c>
      <c r="L16" s="4">
        <f>1-_xlfn.NORM.DIST($C16+L$4,0,1,TRUE)</f>
        <v>0.16354305932769231</v>
      </c>
      <c r="M16" s="5">
        <f>1-_xlfn.NORM.DIST($C16+M$4,0,1,TRUE)</f>
        <v>0.16108705951083091</v>
      </c>
    </row>
    <row r="17" spans="3:13" ht="15" customHeight="1" x14ac:dyDescent="0.55000000000000004">
      <c r="C17" s="3">
        <v>1</v>
      </c>
      <c r="D17" s="4">
        <f>1-_xlfn.NORM.DIST($C17+D$4,0,1,TRUE)</f>
        <v>0.15865525393145696</v>
      </c>
      <c r="E17" s="4">
        <f>1-_xlfn.NORM.DIST($C17+E$4,0,1,TRUE)</f>
        <v>0.15624764502125454</v>
      </c>
      <c r="F17" s="4">
        <f>1-_xlfn.NORM.DIST($C17+F$4,0,1,TRUE)</f>
        <v>0.15386423037273489</v>
      </c>
      <c r="G17" s="4">
        <f>1-_xlfn.NORM.DIST($C17+G$4,0,1,TRUE)</f>
        <v>0.15150500278834367</v>
      </c>
      <c r="H17" s="4">
        <f>1-_xlfn.NORM.DIST($C17+H$4,0,1,TRUE)</f>
        <v>0.14916995033098135</v>
      </c>
      <c r="I17" s="4">
        <f>1-_xlfn.NORM.DIST($C17+I$4,0,1,TRUE)</f>
        <v>0.14685905637589591</v>
      </c>
      <c r="J17" s="4">
        <f>1-_xlfn.NORM.DIST($C17+J$4,0,1,TRUE)</f>
        <v>0.14457229966390961</v>
      </c>
      <c r="K17" s="4">
        <f>1-_xlfn.NORM.DIST($C17+K$4,0,1,TRUE)</f>
        <v>0.14230965435593923</v>
      </c>
      <c r="L17" s="4">
        <f>1-_xlfn.NORM.DIST($C17+L$4,0,1,TRUE)</f>
        <v>0.14007109008876906</v>
      </c>
      <c r="M17" s="5">
        <f>1-_xlfn.NORM.DIST($C17+M$4,0,1,TRUE)</f>
        <v>0.1378565720320355</v>
      </c>
    </row>
    <row r="18" spans="3:13" ht="15" customHeight="1" x14ac:dyDescent="0.55000000000000004">
      <c r="C18" s="3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3:13" ht="15" customHeight="1" x14ac:dyDescent="0.55000000000000004">
      <c r="C19" s="3">
        <v>1.1000000000000001</v>
      </c>
      <c r="D19" s="4">
        <f>1-_xlfn.NORM.DIST($C19+D$4,0,1,TRUE)</f>
        <v>0.13566606094638267</v>
      </c>
      <c r="E19" s="4">
        <f>1-_xlfn.NORM.DIST($C19+E$4,0,1,TRUE)</f>
        <v>0.13349951324274723</v>
      </c>
      <c r="F19" s="4">
        <f>1-_xlfn.NORM.DIST($C19+F$4,0,1,TRUE)</f>
        <v>0.13135688104273069</v>
      </c>
      <c r="G19" s="4">
        <f>1-_xlfn.NORM.DIST($C19+G$4,0,1,TRUE)</f>
        <v>0.1292381122400178</v>
      </c>
      <c r="H19" s="4">
        <f>1-_xlfn.NORM.DIST($C19+H$4,0,1,TRUE)</f>
        <v>0.12714315056279824</v>
      </c>
      <c r="I19" s="4">
        <f>1-_xlfn.NORM.DIST($C19+I$4,0,1,TRUE)</f>
        <v>0.12507193563715013</v>
      </c>
      <c r="J19" s="4">
        <f>1-_xlfn.NORM.DIST($C19+J$4,0,1,TRUE)</f>
        <v>0.12302440305134332</v>
      </c>
      <c r="K19" s="4">
        <f>1-_xlfn.NORM.DIST($C19+K$4,0,1,TRUE)</f>
        <v>0.12100048442101818</v>
      </c>
      <c r="L19" s="4">
        <f>1-_xlfn.NORM.DIST($C19+L$4,0,1,TRUE)</f>
        <v>0.11900010745520062</v>
      </c>
      <c r="M19" s="5">
        <f>1-_xlfn.NORM.DIST($C19+M$4,0,1,TRUE)</f>
        <v>0.11702319602310873</v>
      </c>
    </row>
    <row r="20" spans="3:13" ht="15" customHeight="1" x14ac:dyDescent="0.55000000000000004">
      <c r="C20" s="3">
        <v>1.2</v>
      </c>
      <c r="D20" s="4">
        <f>1-_xlfn.NORM.DIST($C20+D$4,0,1,TRUE)</f>
        <v>0.11506967022170822</v>
      </c>
      <c r="E20" s="4">
        <f>1-_xlfn.NORM.DIST($C20+E$4,0,1,TRUE)</f>
        <v>0.11313944644397722</v>
      </c>
      <c r="F20" s="4">
        <f>1-_xlfn.NORM.DIST($C20+F$4,0,1,TRUE)</f>
        <v>0.11123243744783462</v>
      </c>
      <c r="G20" s="4">
        <f>1-_xlfn.NORM.DIST($C20+G$4,0,1,TRUE)</f>
        <v>0.10934855242569186</v>
      </c>
      <c r="H20" s="4">
        <f>1-_xlfn.NORM.DIST($C20+H$4,0,1,TRUE)</f>
        <v>0.10748769707458694</v>
      </c>
      <c r="I20" s="4">
        <f>1-_xlfn.NORM.DIST($C20+I$4,0,1,TRUE)</f>
        <v>0.10564977366685524</v>
      </c>
      <c r="J20" s="4">
        <f>1-_xlfn.NORM.DIST($C20+J$4,0,1,TRUE)</f>
        <v>0.10383468112130034</v>
      </c>
      <c r="K20" s="4">
        <f>1-_xlfn.NORM.DIST($C20+K$4,0,1,TRUE)</f>
        <v>0.10204231507481909</v>
      </c>
      <c r="L20" s="4">
        <f>1-_xlfn.NORM.DIST($C20+L$4,0,1,TRUE)</f>
        <v>0.10027256795444206</v>
      </c>
      <c r="M20" s="5">
        <f>1-_xlfn.NORM.DIST($C20+M$4,0,1,TRUE)</f>
        <v>9.8525329049747867E-2</v>
      </c>
    </row>
    <row r="21" spans="3:13" ht="15" customHeight="1" x14ac:dyDescent="0.55000000000000004">
      <c r="C21" s="3">
        <v>1.3</v>
      </c>
      <c r="D21" s="4">
        <f>1-_xlfn.NORM.DIST($C21+D$4,0,1,TRUE)</f>
        <v>9.6800484585610302E-2</v>
      </c>
      <c r="E21" s="4">
        <f>1-_xlfn.NORM.DIST($C21+E$4,0,1,TRUE)</f>
        <v>9.5097917795239018E-2</v>
      </c>
      <c r="F21" s="4">
        <f>1-_xlfn.NORM.DIST($C21+F$4,0,1,TRUE)</f>
        <v>9.3417508993471787E-2</v>
      </c>
      <c r="G21" s="4">
        <f>1-_xlfn.NORM.DIST($C21+G$4,0,1,TRUE)</f>
        <v>9.1759135650280821E-2</v>
      </c>
      <c r="H21" s="4">
        <f>1-_xlfn.NORM.DIST($C21+H$4,0,1,TRUE)</f>
        <v>9.0122672464452491E-2</v>
      </c>
      <c r="I21" s="4">
        <f>1-_xlfn.NORM.DIST($C21+I$4,0,1,TRUE)</f>
        <v>8.8507991437401956E-2</v>
      </c>
      <c r="J21" s="4">
        <f>1-_xlfn.NORM.DIST($C21+J$4,0,1,TRUE)</f>
        <v>8.6914961947085034E-2</v>
      </c>
      <c r="K21" s="4">
        <f>1-_xlfn.NORM.DIST($C21+K$4,0,1,TRUE)</f>
        <v>8.5343450821966926E-2</v>
      </c>
      <c r="L21" s="4">
        <f>1-_xlfn.NORM.DIST($C21+L$4,0,1,TRUE)</f>
        <v>8.3793322415014249E-2</v>
      </c>
      <c r="M21" s="5">
        <f>1-_xlfn.NORM.DIST($C21+M$4,0,1,TRUE)</f>
        <v>8.2264438677668861E-2</v>
      </c>
    </row>
    <row r="22" spans="3:13" ht="15" customHeight="1" x14ac:dyDescent="0.55000000000000004">
      <c r="C22" s="3">
        <v>1.4</v>
      </c>
      <c r="D22" s="4">
        <f>1-_xlfn.NORM.DIST($C22+D$4,0,1,TRUE)</f>
        <v>8.0756659233771066E-2</v>
      </c>
      <c r="E22" s="4">
        <f>1-_xlfn.NORM.DIST($C22+E$4,0,1,TRUE)</f>
        <v>7.9269841453392442E-2</v>
      </c>
      <c r="F22" s="4">
        <f>1-_xlfn.NORM.DIST($C22+F$4,0,1,TRUE)</f>
        <v>7.780384052654632E-2</v>
      </c>
      <c r="G22" s="4">
        <f>1-_xlfn.NORM.DIST($C22+G$4,0,1,TRUE)</f>
        <v>7.6358509536739172E-2</v>
      </c>
      <c r="H22" s="4">
        <f>1-_xlfn.NORM.DIST($C22+H$4,0,1,TRUE)</f>
        <v>7.4933699534327047E-2</v>
      </c>
      <c r="I22" s="4">
        <f>1-_xlfn.NORM.DIST($C22+I$4,0,1,TRUE)</f>
        <v>7.3529259609648401E-2</v>
      </c>
      <c r="J22" s="4">
        <f>1-_xlfn.NORM.DIST($C22+J$4,0,1,TRUE)</f>
        <v>7.2145036965893805E-2</v>
      </c>
      <c r="K22" s="4">
        <f>1-_xlfn.NORM.DIST($C22+K$4,0,1,TRUE)</f>
        <v>7.078087699168556E-2</v>
      </c>
      <c r="L22" s="4">
        <f>1-_xlfn.NORM.DIST($C22+L$4,0,1,TRUE)</f>
        <v>6.9436623333331671E-2</v>
      </c>
      <c r="M22" s="5">
        <f>1-_xlfn.NORM.DIST($C22+M$4,0,1,TRUE)</f>
        <v>6.8112117966725449E-2</v>
      </c>
    </row>
    <row r="23" spans="3:13" ht="15" customHeight="1" x14ac:dyDescent="0.55000000000000004">
      <c r="C23" s="3">
        <v>1.5</v>
      </c>
      <c r="D23" s="4">
        <f>1-_xlfn.NORM.DIST($C23+D$4,0,1,TRUE)</f>
        <v>6.6807201268858085E-2</v>
      </c>
      <c r="E23" s="4">
        <f>1-_xlfn.NORM.DIST($C23+E$4,0,1,TRUE)</f>
        <v>6.5521712088916439E-2</v>
      </c>
      <c r="F23" s="4">
        <f>1-_xlfn.NORM.DIST($C23+F$4,0,1,TRUE)</f>
        <v>6.4255487818935753E-2</v>
      </c>
      <c r="G23" s="4">
        <f>1-_xlfn.NORM.DIST($C23+G$4,0,1,TRUE)</f>
        <v>6.3008364463978395E-2</v>
      </c>
      <c r="H23" s="4">
        <f>1-_xlfn.NORM.DIST($C23+H$4,0,1,TRUE)</f>
        <v>6.1780176711811907E-2</v>
      </c>
      <c r="I23" s="4">
        <f>1-_xlfn.NORM.DIST($C23+I$4,0,1,TRUE)</f>
        <v>6.0570758002059022E-2</v>
      </c>
      <c r="J23" s="4">
        <f>1-_xlfn.NORM.DIST($C23+J$4,0,1,TRUE)</f>
        <v>5.9379940594793013E-2</v>
      </c>
      <c r="K23" s="4">
        <f>1-_xlfn.NORM.DIST($C23+K$4,0,1,TRUE)</f>
        <v>5.8207555638553066E-2</v>
      </c>
      <c r="L23" s="4">
        <f>1-_xlfn.NORM.DIST($C23+L$4,0,1,TRUE)</f>
        <v>5.7053433237754136E-2</v>
      </c>
      <c r="M23" s="5">
        <f>1-_xlfn.NORM.DIST($C23+M$4,0,1,TRUE)</f>
        <v>5.5917402519469417E-2</v>
      </c>
    </row>
    <row r="24" spans="3:13" ht="15" customHeight="1" x14ac:dyDescent="0.55000000000000004">
      <c r="C24" s="3"/>
      <c r="D24" s="6"/>
      <c r="E24" s="6"/>
      <c r="F24" s="6"/>
      <c r="G24" s="6"/>
      <c r="H24" s="6"/>
      <c r="I24" s="6"/>
      <c r="J24" s="6"/>
      <c r="K24" s="6"/>
      <c r="L24" s="6"/>
      <c r="M24" s="7"/>
    </row>
    <row r="25" spans="3:13" ht="15" customHeight="1" x14ac:dyDescent="0.55000000000000004">
      <c r="C25" s="3">
        <v>1.6</v>
      </c>
      <c r="D25" s="4">
        <f>1-_xlfn.NORM.DIST($C25+D$4,0,1,TRUE)</f>
        <v>5.4799291699557995E-2</v>
      </c>
      <c r="E25" s="4">
        <f>1-_xlfn.NORM.DIST($C25+E$4,0,1,TRUE)</f>
        <v>5.3698928148119718E-2</v>
      </c>
      <c r="F25" s="4">
        <f>1-_xlfn.NORM.DIST($C25+F$4,0,1,TRUE)</f>
        <v>5.2616138454252059E-2</v>
      </c>
      <c r="G25" s="4">
        <f>1-_xlfn.NORM.DIST($C25+G$4,0,1,TRUE)</f>
        <v>5.1550748490089338E-2</v>
      </c>
      <c r="H25" s="4">
        <f>1-_xlfn.NORM.DIST($C25+H$4,0,1,TRUE)</f>
        <v>5.0502583474103746E-2</v>
      </c>
      <c r="I25" s="4">
        <f>1-_xlfn.NORM.DIST($C25+I$4,0,1,TRUE)</f>
        <v>4.9471468033648103E-2</v>
      </c>
      <c r="J25" s="4">
        <f>1-_xlfn.NORM.DIST($C25+J$4,0,1,TRUE)</f>
        <v>4.8457226266722775E-2</v>
      </c>
      <c r="K25" s="4">
        <f>1-_xlfn.NORM.DIST($C25+K$4,0,1,TRUE)</f>
        <v>4.7459681802947351E-2</v>
      </c>
      <c r="L25" s="4">
        <f>1-_xlfn.NORM.DIST($C25+L$4,0,1,TRUE)</f>
        <v>4.6478657863719963E-2</v>
      </c>
      <c r="M25" s="5">
        <f>1-_xlfn.NORM.DIST($C25+M$4,0,1,TRUE)</f>
        <v>4.5513977321549826E-2</v>
      </c>
    </row>
    <row r="26" spans="3:13" ht="15" customHeight="1" x14ac:dyDescent="0.55000000000000004">
      <c r="C26" s="3">
        <v>1.7</v>
      </c>
      <c r="D26" s="4">
        <f>1-_xlfn.NORM.DIST($C26+D$4,0,1,TRUE)</f>
        <v>4.4565462758543006E-2</v>
      </c>
      <c r="E26" s="4">
        <f>1-_xlfn.NORM.DIST($C26+E$4,0,1,TRUE)</f>
        <v>4.3632936524031884E-2</v>
      </c>
      <c r="F26" s="4">
        <f>1-_xlfn.NORM.DIST($C26+F$4,0,1,TRUE)</f>
        <v>4.2716220791328863E-2</v>
      </c>
      <c r="G26" s="4">
        <f>1-_xlfn.NORM.DIST($C26+G$4,0,1,TRUE)</f>
        <v>4.1815137613594899E-2</v>
      </c>
      <c r="H26" s="4">
        <f>1-_xlfn.NORM.DIST($C26+H$4,0,1,TRUE)</f>
        <v>4.0929508978807316E-2</v>
      </c>
      <c r="I26" s="4">
        <f>1-_xlfn.NORM.DIST($C26+I$4,0,1,TRUE)</f>
        <v>4.0059156863817114E-2</v>
      </c>
      <c r="J26" s="4">
        <f>1-_xlfn.NORM.DIST($C26+J$4,0,1,TRUE)</f>
        <v>3.9203903287482689E-2</v>
      </c>
      <c r="K26" s="4">
        <f>1-_xlfn.NORM.DIST($C26+K$4,0,1,TRUE)</f>
        <v>3.8363570362871191E-2</v>
      </c>
      <c r="L26" s="4">
        <f>1-_xlfn.NORM.DIST($C26+L$4,0,1,TRUE)</f>
        <v>3.7537980348516742E-2</v>
      </c>
      <c r="M26" s="5">
        <f>1-_xlfn.NORM.DIST($C26+M$4,0,1,TRUE)</f>
        <v>3.6726955698726305E-2</v>
      </c>
    </row>
    <row r="27" spans="3:13" ht="15" customHeight="1" x14ac:dyDescent="0.55000000000000004">
      <c r="C27" s="3">
        <v>1.8</v>
      </c>
      <c r="D27" s="4">
        <f>1-_xlfn.NORM.DIST($C27+D$4,0,1,TRUE)</f>
        <v>3.5930319112925768E-2</v>
      </c>
      <c r="E27" s="4">
        <f>1-_xlfn.NORM.DIST($C27+E$4,0,1,TRUE)</f>
        <v>3.5147893584038803E-2</v>
      </c>
      <c r="F27" s="4">
        <f>1-_xlfn.NORM.DIST($C27+F$4,0,1,TRUE)</f>
        <v>3.4379502445889942E-2</v>
      </c>
      <c r="G27" s="4">
        <f>1-_xlfn.NORM.DIST($C27+G$4,0,1,TRUE)</f>
        <v>3.3624969419628337E-2</v>
      </c>
      <c r="H27" s="4">
        <f>1-_xlfn.NORM.DIST($C27+H$4,0,1,TRUE)</f>
        <v>3.2884118659163852E-2</v>
      </c>
      <c r="I27" s="4">
        <f>1-_xlfn.NORM.DIST($C27+I$4,0,1,TRUE)</f>
        <v>3.2156774795613741E-2</v>
      </c>
      <c r="J27" s="4">
        <f>1-_xlfn.NORM.DIST($C27+J$4,0,1,TRUE)</f>
        <v>3.1442762980752659E-2</v>
      </c>
      <c r="K27" s="4">
        <f>1-_xlfn.NORM.DIST($C27+K$4,0,1,TRUE)</f>
        <v>3.0741908929465933E-2</v>
      </c>
      <c r="L27" s="4">
        <f>1-_xlfn.NORM.DIST($C27+L$4,0,1,TRUE)</f>
        <v>3.0054038961199736E-2</v>
      </c>
      <c r="M27" s="5">
        <f>1-_xlfn.NORM.DIST($C27+M$4,0,1,TRUE)</f>
        <v>2.9378980040409397E-2</v>
      </c>
    </row>
    <row r="28" spans="3:13" ht="15" customHeight="1" x14ac:dyDescent="0.55000000000000004">
      <c r="C28" s="3">
        <v>1.9</v>
      </c>
      <c r="D28" s="4">
        <f>1-_xlfn.NORM.DIST($C28+D$4,0,1,TRUE)</f>
        <v>2.8716559816001852E-2</v>
      </c>
      <c r="E28" s="4">
        <f>1-_xlfn.NORM.DIST($C28+E$4,0,1,TRUE)</f>
        <v>2.8066606659772564E-2</v>
      </c>
      <c r="F28" s="4">
        <f>1-_xlfn.NORM.DIST($C28+F$4,0,1,TRUE)</f>
        <v>2.7428949703836802E-2</v>
      </c>
      <c r="G28" s="4">
        <f>1-_xlfn.NORM.DIST($C28+G$4,0,1,TRUE)</f>
        <v>2.6803418877054952E-2</v>
      </c>
      <c r="H28" s="4">
        <f>1-_xlfn.NORM.DIST($C28+H$4,0,1,TRUE)</f>
        <v>2.6189844940452733E-2</v>
      </c>
      <c r="I28" s="4">
        <f>1-_xlfn.NORM.DIST($C28+I$4,0,1,TRUE)</f>
        <v>2.5588059521638562E-2</v>
      </c>
      <c r="J28" s="4">
        <f>1-_xlfn.NORM.DIST($C28+J$4,0,1,TRUE)</f>
        <v>2.4997895148220484E-2</v>
      </c>
      <c r="K28" s="4">
        <f>1-_xlfn.NORM.DIST($C28+K$4,0,1,TRUE)</f>
        <v>2.4419185280222577E-2</v>
      </c>
      <c r="L28" s="4">
        <f>1-_xlfn.NORM.DIST($C28+L$4,0,1,TRUE)</f>
        <v>2.3851764341508486E-2</v>
      </c>
      <c r="M28" s="5">
        <f>1-_xlfn.NORM.DIST($C28+M$4,0,1,TRUE)</f>
        <v>2.3295467750211851E-2</v>
      </c>
    </row>
    <row r="29" spans="3:13" ht="15" customHeight="1" x14ac:dyDescent="0.55000000000000004">
      <c r="C29" s="3">
        <v>2</v>
      </c>
      <c r="D29" s="4">
        <f>1-_xlfn.NORM.DIST($C29+D$4,0,1,TRUE)</f>
        <v>2.2750131948179209E-2</v>
      </c>
      <c r="E29" s="4">
        <f>1-_xlfn.NORM.DIST($C29+E$4,0,1,TRUE)</f>
        <v>2.221559442943144E-2</v>
      </c>
      <c r="F29" s="4">
        <f>1-_xlfn.NORM.DIST($C29+F$4,0,1,TRUE)</f>
        <v>2.1691693767646791E-2</v>
      </c>
      <c r="G29" s="4">
        <f>1-_xlfn.NORM.DIST($C29+G$4,0,1,TRUE)</f>
        <v>2.1178269642672221E-2</v>
      </c>
      <c r="H29" s="4">
        <f>1-_xlfn.NORM.DIST($C29+H$4,0,1,TRUE)</f>
        <v>2.0675162866070074E-2</v>
      </c>
      <c r="I29" s="4">
        <f>1-_xlfn.NORM.DIST($C29+I$4,0,1,TRUE)</f>
        <v>2.0182215405704418E-2</v>
      </c>
      <c r="J29" s="4">
        <f>1-_xlfn.NORM.DIST($C29+J$4,0,1,TRUE)</f>
        <v>1.9699270409376912E-2</v>
      </c>
      <c r="K29" s="4">
        <f>1-_xlfn.NORM.DIST($C29+K$4,0,1,TRUE)</f>
        <v>1.9226172227517324E-2</v>
      </c>
      <c r="L29" s="4">
        <f>1-_xlfn.NORM.DIST($C29+L$4,0,1,TRUE)</f>
        <v>1.8762766434937794E-2</v>
      </c>
      <c r="M29" s="5">
        <f>1-_xlfn.NORM.DIST($C29+M$4,0,1,TRUE)</f>
        <v>1.8308899851658955E-2</v>
      </c>
    </row>
    <row r="30" spans="3:13" ht="15" customHeight="1" x14ac:dyDescent="0.55000000000000004">
      <c r="C30" s="3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3:13" ht="15" customHeight="1" x14ac:dyDescent="0.55000000000000004">
      <c r="C31" s="3">
        <v>2.1</v>
      </c>
      <c r="D31" s="4">
        <f>1-_xlfn.NORM.DIST($C31+D$4,0,1,TRUE)</f>
        <v>1.7864420562816563E-2</v>
      </c>
      <c r="E31" s="4">
        <f>1-_xlfn.NORM.DIST($C31+E$4,0,1,TRUE)</f>
        <v>1.7429177937657081E-2</v>
      </c>
      <c r="F31" s="4">
        <f>1-_xlfn.NORM.DIST($C31+F$4,0,1,TRUE)</f>
        <v>1.700302264763276E-2</v>
      </c>
      <c r="G31" s="4">
        <f>1-_xlfn.NORM.DIST($C31+G$4,0,1,TRUE)</f>
        <v>1.6585806683604987E-2</v>
      </c>
      <c r="H31" s="4">
        <f>1-_xlfn.NORM.DIST($C31+H$4,0,1,TRUE)</f>
        <v>1.6177383372166121E-2</v>
      </c>
      <c r="I31" s="4">
        <f>1-_xlfn.NORM.DIST($C31+I$4,0,1,TRUE)</f>
        <v>1.5777607391090465E-2</v>
      </c>
      <c r="J31" s="4">
        <f>1-_xlfn.NORM.DIST($C31+J$4,0,1,TRUE)</f>
        <v>1.5386334783925482E-2</v>
      </c>
      <c r="K31" s="4">
        <f>1-_xlfn.NORM.DIST($C31+K$4,0,1,TRUE)</f>
        <v>1.500342297373225E-2</v>
      </c>
      <c r="L31" s="4">
        <f>1-_xlfn.NORM.DIST($C31+L$4,0,1,TRUE)</f>
        <v>1.4628730775989252E-2</v>
      </c>
      <c r="M31" s="5">
        <f>1-_xlfn.NORM.DIST($C31+M$4,0,1,TRUE)</f>
        <v>1.4262118410668823E-2</v>
      </c>
    </row>
    <row r="32" spans="3:13" ht="15" customHeight="1" x14ac:dyDescent="0.55000000000000004">
      <c r="C32" s="3">
        <v>2.2000000000000002</v>
      </c>
      <c r="D32" s="4">
        <f>1-_xlfn.NORM.DIST($C32+D$4,0,1,TRUE)</f>
        <v>1.390344751349859E-2</v>
      </c>
      <c r="E32" s="4">
        <f>1-_xlfn.NORM.DIST($C32+E$4,0,1,TRUE)</f>
        <v>1.3552581146419995E-2</v>
      </c>
      <c r="F32" s="4">
        <f>1-_xlfn.NORM.DIST($C32+F$4,0,1,TRUE)</f>
        <v>1.3209383807256225E-2</v>
      </c>
      <c r="G32" s="4">
        <f>1-_xlfn.NORM.DIST($C32+G$4,0,1,TRUE)</f>
        <v>1.2873721438601993E-2</v>
      </c>
      <c r="H32" s="4">
        <f>1-_xlfn.NORM.DIST($C32+H$4,0,1,TRUE)</f>
        <v>1.2545461435946592E-2</v>
      </c>
      <c r="I32" s="4">
        <f>1-_xlfn.NORM.DIST($C32+I$4,0,1,TRUE)</f>
        <v>1.2224472655044671E-2</v>
      </c>
      <c r="J32" s="4">
        <f>1-_xlfn.NORM.DIST($C32+J$4,0,1,TRUE)</f>
        <v>1.1910625418547038E-2</v>
      </c>
      <c r="K32" s="4">
        <f>1-_xlfn.NORM.DIST($C32+K$4,0,1,TRUE)</f>
        <v>1.1603791521903495E-2</v>
      </c>
      <c r="L32" s="4">
        <f>1-_xlfn.NORM.DIST($C32+L$4,0,1,TRUE)</f>
        <v>1.1303844238552796E-2</v>
      </c>
      <c r="M32" s="5">
        <f>1-_xlfn.NORM.DIST($C32+M$4,0,1,TRUE)</f>
        <v>1.1010658324411393E-2</v>
      </c>
    </row>
    <row r="33" spans="3:13" ht="15" customHeight="1" x14ac:dyDescent="0.55000000000000004">
      <c r="C33" s="3">
        <v>2.2999999999999998</v>
      </c>
      <c r="D33" s="4">
        <f>1-_xlfn.NORM.DIST($C33+D$4,0,1,TRUE)</f>
        <v>1.0724110021675837E-2</v>
      </c>
      <c r="E33" s="4">
        <f>1-_xlfn.NORM.DIST($C33+E$4,0,1,TRUE)</f>
        <v>1.0444077061951051E-2</v>
      </c>
      <c r="F33" s="4">
        <f>1-_xlfn.NORM.DIST($C33+F$4,0,1,TRUE)</f>
        <v>1.0170438668719695E-2</v>
      </c>
      <c r="G33" s="4">
        <f>1-_xlfn.NORM.DIST($C33+G$4,0,1,TRUE)</f>
        <v>9.9030755591642539E-3</v>
      </c>
      <c r="H33" s="4">
        <f>1-_xlfn.NORM.DIST($C33+H$4,0,1,TRUE)</f>
        <v>9.6418699453583168E-3</v>
      </c>
      <c r="I33" s="4">
        <f>1-_xlfn.NORM.DIST($C33+I$4,0,1,TRUE)</f>
        <v>9.3867055348385575E-3</v>
      </c>
      <c r="J33" s="4">
        <f>1-_xlfn.NORM.DIST($C33+J$4,0,1,TRUE)</f>
        <v>9.1374675305726516E-3</v>
      </c>
      <c r="K33" s="4">
        <f>1-_xlfn.NORM.DIST($C33+K$4,0,1,TRUE)</f>
        <v>8.8940426303367737E-3</v>
      </c>
      <c r="L33" s="4">
        <f>1-_xlfn.NORM.DIST($C33+L$4,0,1,TRUE)</f>
        <v>8.6563190255165567E-3</v>
      </c>
      <c r="M33" s="5">
        <f>1-_xlfn.NORM.DIST($C33+M$4,0,1,TRUE)</f>
        <v>8.4241863993457233E-3</v>
      </c>
    </row>
    <row r="34" spans="3:13" ht="15" customHeight="1" x14ac:dyDescent="0.55000000000000004">
      <c r="C34" s="3">
        <v>2.4</v>
      </c>
      <c r="D34" s="4">
        <f>1-_xlfn.NORM.DIST($C34+D$4,0,1,TRUE)</f>
        <v>8.1975359245961554E-3</v>
      </c>
      <c r="E34" s="4">
        <f>1-_xlfn.NORM.DIST($C34+E$4,0,1,TRUE)</f>
        <v>7.9762602607337252E-3</v>
      </c>
      <c r="F34" s="4">
        <f>1-_xlfn.NORM.DIST($C34+F$4,0,1,TRUE)</f>
        <v>7.760253550553653E-3</v>
      </c>
      <c r="G34" s="4">
        <f>1-_xlfn.NORM.DIST($C34+G$4,0,1,TRUE)</f>
        <v>7.5494114163091597E-3</v>
      </c>
      <c r="H34" s="4">
        <f>1-_xlfn.NORM.DIST($C34+H$4,0,1,TRUE)</f>
        <v>7.3436309553482904E-3</v>
      </c>
      <c r="I34" s="4">
        <f>1-_xlfn.NORM.DIST($C34+I$4,0,1,TRUE)</f>
        <v>7.1428107352714543E-3</v>
      </c>
      <c r="J34" s="4">
        <f>1-_xlfn.NORM.DIST($C34+J$4,0,1,TRUE)</f>
        <v>6.9468507886243369E-3</v>
      </c>
      <c r="K34" s="4">
        <f>1-_xlfn.NORM.DIST($C34+K$4,0,1,TRUE)</f>
        <v>6.7556526071406164E-3</v>
      </c>
      <c r="L34" s="4">
        <f>1-_xlfn.NORM.DIST($C34+L$4,0,1,TRUE)</f>
        <v>6.5691191355468082E-3</v>
      </c>
      <c r="M34" s="5">
        <f>1-_xlfn.NORM.DIST($C34+M$4,0,1,TRUE)</f>
        <v>6.3871547649432259E-3</v>
      </c>
    </row>
    <row r="35" spans="3:13" ht="15" customHeight="1" x14ac:dyDescent="0.55000000000000004">
      <c r="C35" s="3">
        <v>2.5</v>
      </c>
      <c r="D35" s="4">
        <f>1-_xlfn.NORM.DIST($C35+D$4,0,1,TRUE)</f>
        <v>6.2096653257761592E-3</v>
      </c>
      <c r="E35" s="4">
        <f>1-_xlfn.NORM.DIST($C35+E$4,0,1,TRUE)</f>
        <v>6.0365580804127017E-3</v>
      </c>
      <c r="F35" s="4">
        <f>1-_xlfn.NORM.DIST($C35+F$4,0,1,TRUE)</f>
        <v>5.8677417153325528E-3</v>
      </c>
      <c r="G35" s="4">
        <f>1-_xlfn.NORM.DIST($C35+G$4,0,1,TRUE)</f>
        <v>5.7031263329506698E-3</v>
      </c>
      <c r="H35" s="4">
        <f>1-_xlfn.NORM.DIST($C35+H$4,0,1,TRUE)</f>
        <v>5.5426234430826504E-3</v>
      </c>
      <c r="I35" s="4">
        <f>1-_xlfn.NORM.DIST($C35+I$4,0,1,TRUE)</f>
        <v>5.3861459540667234E-3</v>
      </c>
      <c r="J35" s="4">
        <f>1-_xlfn.NORM.DIST($C35+J$4,0,1,TRUE)</f>
        <v>5.2336081635557807E-3</v>
      </c>
      <c r="K35" s="4">
        <f>1-_xlfn.NORM.DIST($C35+K$4,0,1,TRUE)</f>
        <v>5.0849257489909983E-3</v>
      </c>
      <c r="L35" s="4">
        <f>1-_xlfn.NORM.DIST($C35+L$4,0,1,TRUE)</f>
        <v>4.9400157577705883E-3</v>
      </c>
      <c r="M35" s="5">
        <f>1-_xlfn.NORM.DIST($C35+M$4,0,1,TRUE)</f>
        <v>4.7987965971262314E-3</v>
      </c>
    </row>
    <row r="36" spans="3:13" ht="15" customHeight="1" x14ac:dyDescent="0.55000000000000004">
      <c r="C36" s="3"/>
      <c r="D36" s="6"/>
      <c r="E36" s="6"/>
      <c r="F36" s="6"/>
      <c r="G36" s="6"/>
      <c r="H36" s="6"/>
      <c r="I36" s="6"/>
      <c r="J36" s="6"/>
      <c r="K36" s="6"/>
      <c r="L36" s="6"/>
      <c r="M36" s="7"/>
    </row>
    <row r="37" spans="3:13" ht="15" customHeight="1" x14ac:dyDescent="0.55000000000000004">
      <c r="C37" s="3">
        <v>2.6</v>
      </c>
      <c r="D37" s="4">
        <f>1-_xlfn.NORM.DIST($C37+D$4,0,1,TRUE)</f>
        <v>4.661188023718732E-3</v>
      </c>
      <c r="E37" s="4">
        <f>1-_xlfn.NORM.DIST($C37+E$4,0,1,TRUE)</f>
        <v>4.5271111329673319E-3</v>
      </c>
      <c r="F37" s="4">
        <f>1-_xlfn.NORM.DIST($C37+F$4,0,1,TRUE)</f>
        <v>4.3964883481213413E-3</v>
      </c>
      <c r="G37" s="4">
        <f>1-_xlfn.NORM.DIST($C37+G$4,0,1,TRUE)</f>
        <v>4.2692434090892961E-3</v>
      </c>
      <c r="H37" s="4">
        <f>1-_xlfn.NORM.DIST($C37+H$4,0,1,TRUE)</f>
        <v>4.14530136103608E-3</v>
      </c>
      <c r="I37" s="4">
        <f>1-_xlfn.NORM.DIST($C37+I$4,0,1,TRUE)</f>
        <v>4.0245885427583339E-3</v>
      </c>
      <c r="J37" s="4">
        <f>1-_xlfn.NORM.DIST($C37+J$4,0,1,TRUE)</f>
        <v>3.907032574852809E-3</v>
      </c>
      <c r="K37" s="4">
        <f>1-_xlfn.NORM.DIST($C37+K$4,0,1,TRUE)</f>
        <v>3.7925623476854353E-3</v>
      </c>
      <c r="L37" s="4">
        <f>1-_xlfn.NORM.DIST($C37+L$4,0,1,TRUE)</f>
        <v>3.6811080091749826E-3</v>
      </c>
      <c r="M37" s="5">
        <f>1-_xlfn.NORM.DIST($C37+M$4,0,1,TRUE)</f>
        <v>3.5726009523997515E-3</v>
      </c>
    </row>
    <row r="38" spans="3:13" ht="15" customHeight="1" x14ac:dyDescent="0.55000000000000004">
      <c r="C38" s="3">
        <v>2.7</v>
      </c>
      <c r="D38" s="4">
        <f>1-_xlfn.NORM.DIST($C38+D$4,0,1,TRUE)</f>
        <v>3.4669738030406183E-3</v>
      </c>
      <c r="E38" s="4">
        <f>1-_xlfn.NORM.DIST($C38+E$4,0,1,TRUE)</f>
        <v>3.3641604066692032E-3</v>
      </c>
      <c r="F38" s="4">
        <f>1-_xlfn.NORM.DIST($C38+F$4,0,1,TRUE)</f>
        <v>3.2640958158912659E-3</v>
      </c>
      <c r="G38" s="4">
        <f>1-_xlfn.NORM.DIST($C38+G$4,0,1,TRUE)</f>
        <v>3.1667162773577617E-3</v>
      </c>
      <c r="H38" s="4">
        <f>1-_xlfn.NORM.DIST($C38+H$4,0,1,TRUE)</f>
        <v>3.0719592186504441E-3</v>
      </c>
      <c r="I38" s="4">
        <f>1-_xlfn.NORM.DIST($C38+I$4,0,1,TRUE)</f>
        <v>2.9797632350545555E-3</v>
      </c>
      <c r="J38" s="4">
        <f>1-_xlfn.NORM.DIST($C38+J$4,0,1,TRUE)</f>
        <v>2.8900680762261599E-3</v>
      </c>
      <c r="K38" s="4">
        <f>1-_xlfn.NORM.DIST($C38+K$4,0,1,TRUE)</f>
        <v>2.8028146327649939E-3</v>
      </c>
      <c r="L38" s="4">
        <f>1-_xlfn.NORM.DIST($C38+L$4,0,1,TRUE)</f>
        <v>2.7179449227012764E-3</v>
      </c>
      <c r="M38" s="5">
        <f>1-_xlfn.NORM.DIST($C38+M$4,0,1,TRUE)</f>
        <v>2.6354020779049137E-3</v>
      </c>
    </row>
    <row r="39" spans="3:13" ht="15" customHeight="1" x14ac:dyDescent="0.55000000000000004">
      <c r="C39" s="3">
        <v>2.8</v>
      </c>
      <c r="D39" s="4">
        <f>1-_xlfn.NORM.DIST($C39+D$4,0,1,TRUE)</f>
        <v>2.5551303304279793E-3</v>
      </c>
      <c r="E39" s="4">
        <f>1-_xlfn.NORM.DIST($C39+E$4,0,1,TRUE)</f>
        <v>2.4770749987859109E-3</v>
      </c>
      <c r="F39" s="4">
        <f>1-_xlfn.NORM.DIST($C39+F$4,0,1,TRUE)</f>
        <v>2.4011824741893006E-3</v>
      </c>
      <c r="G39" s="4">
        <f>1-_xlfn.NORM.DIST($C39+G$4,0,1,TRUE)</f>
        <v>2.3274002067315003E-3</v>
      </c>
      <c r="H39" s="4">
        <f>1-_xlfn.NORM.DIST($C39+H$4,0,1,TRUE)</f>
        <v>2.2556766915423632E-3</v>
      </c>
      <c r="I39" s="4">
        <f>1-_xlfn.NORM.DIST($C39+I$4,0,1,TRUE)</f>
        <v>2.1859614549132322E-3</v>
      </c>
      <c r="J39" s="4">
        <f>1-_xlfn.NORM.DIST($C39+J$4,0,1,TRUE)</f>
        <v>2.1182050404046082E-3</v>
      </c>
      <c r="K39" s="4">
        <f>1-_xlfn.NORM.DIST($C39+K$4,0,1,TRUE)</f>
        <v>2.0523589949397181E-3</v>
      </c>
      <c r="L39" s="4">
        <f>1-_xlfn.NORM.DIST($C39+L$4,0,1,TRUE)</f>
        <v>1.9883758548943087E-3</v>
      </c>
      <c r="M39" s="5">
        <f>1-_xlfn.NORM.DIST($C39+M$4,0,1,TRUE)</f>
        <v>1.9262091321878838E-3</v>
      </c>
    </row>
    <row r="40" spans="3:13" ht="15" customHeight="1" x14ac:dyDescent="0.55000000000000004">
      <c r="C40" s="3">
        <v>2.9</v>
      </c>
      <c r="D40" s="4">
        <f>1-_xlfn.NORM.DIST($C40+D$4,0,1,TRUE)</f>
        <v>1.8658133003840449E-3</v>
      </c>
      <c r="E40" s="4">
        <f>1-_xlfn.NORM.DIST($C40+E$4,0,1,TRUE)</f>
        <v>1.8071437808064861E-3</v>
      </c>
      <c r="F40" s="4">
        <f>1-_xlfn.NORM.DIST($C40+F$4,0,1,TRUE)</f>
        <v>1.7501569286760832E-3</v>
      </c>
      <c r="G40" s="4">
        <f>1-_xlfn.NORM.DIST($C40+G$4,0,1,TRUE)</f>
        <v>1.694810019277293E-3</v>
      </c>
      <c r="H40" s="4">
        <f>1-_xlfn.NORM.DIST($C40+H$4,0,1,TRUE)</f>
        <v>1.6410612341569708E-3</v>
      </c>
      <c r="I40" s="4">
        <f>1-_xlfn.NORM.DIST($C40+I$4,0,1,TRUE)</f>
        <v>1.5888696473648212E-3</v>
      </c>
      <c r="J40" s="4">
        <f>1-_xlfn.NORM.DIST($C40+J$4,0,1,TRUE)</f>
        <v>1.538195211738036E-3</v>
      </c>
      <c r="K40" s="4">
        <f>1-_xlfn.NORM.DIST($C40+K$4,0,1,TRUE)</f>
        <v>1.4889987452374465E-3</v>
      </c>
      <c r="L40" s="4">
        <f>1-_xlfn.NORM.DIST($C40+L$4,0,1,TRUE)</f>
        <v>1.4412419173399638E-3</v>
      </c>
      <c r="M40" s="5">
        <f>1-_xlfn.NORM.DIST($C40+M$4,0,1,TRUE)</f>
        <v>1.3948872354923036E-3</v>
      </c>
    </row>
    <row r="41" spans="3:13" ht="15" customHeight="1" thickBot="1" x14ac:dyDescent="0.6">
      <c r="C41" s="8">
        <v>3</v>
      </c>
      <c r="D41" s="9">
        <f>1-_xlfn.NORM.DIST($C41+D$4,0,1,TRUE)</f>
        <v>1.3498980316301035E-3</v>
      </c>
      <c r="E41" s="9">
        <f>1-_xlfn.NORM.DIST($C41+E$4,0,1,TRUE)</f>
        <v>1.3062384487694256E-3</v>
      </c>
      <c r="F41" s="9">
        <f>1-_xlfn.NORM.DIST($C41+F$4,0,1,TRUE)</f>
        <v>1.2638734276723129E-3</v>
      </c>
      <c r="G41" s="9">
        <f>1-_xlfn.NORM.DIST($C41+G$4,0,1,TRUE)</f>
        <v>1.2227686935922799E-3</v>
      </c>
      <c r="H41" s="9">
        <f>1-_xlfn.NORM.DIST($C41+H$4,0,1,TRUE)</f>
        <v>1.1828907431044033E-3</v>
      </c>
      <c r="I41" s="9">
        <f>1-_xlfn.NORM.DIST($C41+I$4,0,1,TRUE)</f>
        <v>1.1442068310226761E-3</v>
      </c>
      <c r="J41" s="9">
        <f>1-_xlfn.NORM.DIST($C41+J$4,0,1,TRUE)</f>
        <v>1.1066849574092874E-3</v>
      </c>
      <c r="K41" s="9">
        <f>1-_xlfn.NORM.DIST($C41+K$4,0,1,TRUE)</f>
        <v>1.0702938546789387E-3</v>
      </c>
      <c r="L41" s="9">
        <f>1-_xlfn.NORM.DIST($C41+L$4,0,1,TRUE)</f>
        <v>1.0350029748028566E-3</v>
      </c>
      <c r="M41" s="10">
        <f>1-_xlfn.NORM.DIST($C41+M$4,0,1,TRUE)</f>
        <v>1.0007824766140594E-3</v>
      </c>
    </row>
    <row r="42" spans="3:13" ht="15" customHeight="1" thickTop="1" x14ac:dyDescent="0.55000000000000004"/>
  </sheetData>
  <mergeCells count="1">
    <mergeCell ref="C2:M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defaultRowHeight="15" customHeight="1" x14ac:dyDescent="0.55000000000000004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 x14ac:dyDescent="0.55000000000000004">
      <c r="C2" s="2" t="s">
        <v>2</v>
      </c>
      <c r="D2" s="2"/>
      <c r="E2" s="2"/>
      <c r="F2" s="2"/>
      <c r="G2" s="2"/>
      <c r="H2" s="2"/>
      <c r="I2" s="2"/>
      <c r="J2" s="2"/>
      <c r="K2" s="2"/>
      <c r="L2" s="2"/>
    </row>
    <row r="3" spans="3:12" ht="15" customHeight="1" thickBot="1" x14ac:dyDescent="0.6"/>
    <row r="4" spans="3:12" ht="15" customHeight="1" thickTop="1" x14ac:dyDescent="0.55000000000000004">
      <c r="C4" s="16"/>
      <c r="D4" s="17" t="s">
        <v>3</v>
      </c>
      <c r="E4" s="14">
        <v>0.25</v>
      </c>
      <c r="F4" s="14">
        <v>0.2</v>
      </c>
      <c r="G4" s="14">
        <v>0.1</v>
      </c>
      <c r="H4" s="14">
        <v>0.05</v>
      </c>
      <c r="I4" s="14">
        <v>2.5000000000000001E-2</v>
      </c>
      <c r="J4" s="14">
        <v>0.01</v>
      </c>
      <c r="K4" s="14">
        <v>5.0000000000000001E-3</v>
      </c>
      <c r="L4" s="24">
        <v>5.0000000000000001E-4</v>
      </c>
    </row>
    <row r="5" spans="3:12" ht="15" customHeight="1" x14ac:dyDescent="0.55000000000000004">
      <c r="C5" s="18" t="s">
        <v>4</v>
      </c>
      <c r="D5" s="19"/>
      <c r="E5" s="15"/>
      <c r="F5" s="15"/>
      <c r="G5" s="15"/>
      <c r="H5" s="15"/>
      <c r="I5" s="15"/>
      <c r="J5" s="15"/>
      <c r="K5" s="15"/>
      <c r="L5" s="25"/>
    </row>
    <row r="6" spans="3:12" ht="15" customHeight="1" x14ac:dyDescent="0.55000000000000004">
      <c r="C6" s="20">
        <v>1</v>
      </c>
      <c r="D6" s="21"/>
      <c r="E6" s="4">
        <f>ABS(_xlfn.T.INV(E$4,$C6))</f>
        <v>1</v>
      </c>
      <c r="F6" s="4">
        <f>ABS(_xlfn.T.INV(F$4,$C6))</f>
        <v>1.3763819204711736</v>
      </c>
      <c r="G6" s="4">
        <f>ABS(_xlfn.T.INV(G$4,$C6))</f>
        <v>3.077683537175254</v>
      </c>
      <c r="H6" s="4">
        <f>ABS(_xlfn.T.INV(H$4,$C6))</f>
        <v>6.3137515146750438</v>
      </c>
      <c r="I6" s="4">
        <f>ABS(_xlfn.T.INV(I$4,$C6))</f>
        <v>12.706204736174707</v>
      </c>
      <c r="J6" s="4">
        <f>ABS(_xlfn.T.INV(J$4,$C6))</f>
        <v>31.820515953773956</v>
      </c>
      <c r="K6" s="4">
        <f>ABS(_xlfn.T.INV(K$4,$C6))</f>
        <v>63.656741162871583</v>
      </c>
      <c r="L6" s="26">
        <f>ABS(_xlfn.T.INV(L$4,$C6))</f>
        <v>636.61924876871956</v>
      </c>
    </row>
    <row r="7" spans="3:12" ht="15" customHeight="1" x14ac:dyDescent="0.55000000000000004">
      <c r="C7" s="20">
        <v>2</v>
      </c>
      <c r="D7" s="21"/>
      <c r="E7" s="4">
        <f>ABS(_xlfn.T.INV(E$4,$C7))</f>
        <v>0.81649658092772592</v>
      </c>
      <c r="F7" s="4">
        <f>ABS(_xlfn.T.INV(F$4,$C7))</f>
        <v>1.0606601717798212</v>
      </c>
      <c r="G7" s="4">
        <f>ABS(_xlfn.T.INV(G$4,$C7))</f>
        <v>1.8856180831641267</v>
      </c>
      <c r="H7" s="4">
        <f>ABS(_xlfn.T.INV(H$4,$C7))</f>
        <v>2.9199855803537269</v>
      </c>
      <c r="I7" s="4">
        <f>ABS(_xlfn.T.INV(I$4,$C7))</f>
        <v>4.3026527297494637</v>
      </c>
      <c r="J7" s="4">
        <f>ABS(_xlfn.T.INV(J$4,$C7))</f>
        <v>6.9645567342832733</v>
      </c>
      <c r="K7" s="4">
        <f>ABS(_xlfn.T.INV(K$4,$C7))</f>
        <v>9.9248432009182928</v>
      </c>
      <c r="L7" s="5">
        <f>ABS(_xlfn.T.INV(L$4,$C7))</f>
        <v>31.599054576443621</v>
      </c>
    </row>
    <row r="8" spans="3:12" ht="15" customHeight="1" x14ac:dyDescent="0.55000000000000004">
      <c r="C8" s="20">
        <v>3</v>
      </c>
      <c r="D8" s="21"/>
      <c r="E8" s="4">
        <f>ABS(_xlfn.T.INV(E$4,$C8))</f>
        <v>0.76489232840434507</v>
      </c>
      <c r="F8" s="4">
        <f>ABS(_xlfn.T.INV(F$4,$C8))</f>
        <v>0.97847231236330467</v>
      </c>
      <c r="G8" s="4">
        <f>ABS(_xlfn.T.INV(G$4,$C8))</f>
        <v>1.63774435369621</v>
      </c>
      <c r="H8" s="4">
        <f>ABS(_xlfn.T.INV(H$4,$C8))</f>
        <v>2.3533634348018233</v>
      </c>
      <c r="I8" s="4">
        <f>ABS(_xlfn.T.INV(I$4,$C8))</f>
        <v>3.1824463052837091</v>
      </c>
      <c r="J8" s="4">
        <f>ABS(_xlfn.T.INV(J$4,$C8))</f>
        <v>4.5407028585681335</v>
      </c>
      <c r="K8" s="4">
        <f>ABS(_xlfn.T.INV(K$4,$C8))</f>
        <v>5.8409093097333571</v>
      </c>
      <c r="L8" s="5">
        <f>ABS(_xlfn.T.INV(L$4,$C8))</f>
        <v>12.923978636687485</v>
      </c>
    </row>
    <row r="9" spans="3:12" ht="15" customHeight="1" x14ac:dyDescent="0.55000000000000004">
      <c r="C9" s="20">
        <v>4</v>
      </c>
      <c r="D9" s="21"/>
      <c r="E9" s="4">
        <f>ABS(_xlfn.T.INV(E$4,$C9))</f>
        <v>0.74069708411268287</v>
      </c>
      <c r="F9" s="4">
        <f>ABS(_xlfn.T.INV(F$4,$C9))</f>
        <v>0.94096457723518057</v>
      </c>
      <c r="G9" s="4">
        <f>ABS(_xlfn.T.INV(G$4,$C9))</f>
        <v>1.5332062740589443</v>
      </c>
      <c r="H9" s="4">
        <f>ABS(_xlfn.T.INV(H$4,$C9))</f>
        <v>2.1318467863266499</v>
      </c>
      <c r="I9" s="4">
        <f>ABS(_xlfn.T.INV(I$4,$C9))</f>
        <v>2.7764451051977934</v>
      </c>
      <c r="J9" s="4">
        <f>ABS(_xlfn.T.INV(J$4,$C9))</f>
        <v>3.7469473879791968</v>
      </c>
      <c r="K9" s="4">
        <f>ABS(_xlfn.T.INV(K$4,$C9))</f>
        <v>4.604094871349993</v>
      </c>
      <c r="L9" s="5">
        <f>ABS(_xlfn.T.INV(L$4,$C9))</f>
        <v>8.6103015813792751</v>
      </c>
    </row>
    <row r="10" spans="3:12" ht="15" customHeight="1" x14ac:dyDescent="0.55000000000000004">
      <c r="C10" s="20">
        <v>5</v>
      </c>
      <c r="D10" s="21"/>
      <c r="E10" s="4">
        <f>ABS(_xlfn.T.INV(E$4,$C10))</f>
        <v>0.72668684380042159</v>
      </c>
      <c r="F10" s="4">
        <f>ABS(_xlfn.T.INV(F$4,$C10))</f>
        <v>0.91954378024082584</v>
      </c>
      <c r="G10" s="4">
        <f>ABS(_xlfn.T.INV(G$4,$C10))</f>
        <v>1.4758840488244813</v>
      </c>
      <c r="H10" s="4">
        <f>ABS(_xlfn.T.INV(H$4,$C10))</f>
        <v>2.0150483733330233</v>
      </c>
      <c r="I10" s="4">
        <f>ABS(_xlfn.T.INV(I$4,$C10))</f>
        <v>2.570581835636315</v>
      </c>
      <c r="J10" s="4">
        <f>ABS(_xlfn.T.INV(J$4,$C10))</f>
        <v>3.3649299989072183</v>
      </c>
      <c r="K10" s="4">
        <f>ABS(_xlfn.T.INV(K$4,$C10))</f>
        <v>4.0321429835552278</v>
      </c>
      <c r="L10" s="5">
        <f>ABS(_xlfn.T.INV(L$4,$C10))</f>
        <v>6.8688266258811099</v>
      </c>
    </row>
    <row r="11" spans="3:12" ht="15" customHeight="1" x14ac:dyDescent="0.55000000000000004">
      <c r="C11" s="20"/>
      <c r="D11" s="21"/>
      <c r="E11" s="6"/>
      <c r="F11" s="6"/>
      <c r="G11" s="6"/>
      <c r="H11" s="6"/>
      <c r="I11" s="6"/>
      <c r="J11" s="6"/>
      <c r="K11" s="6"/>
      <c r="L11" s="7"/>
    </row>
    <row r="12" spans="3:12" ht="15" customHeight="1" x14ac:dyDescent="0.55000000000000004">
      <c r="C12" s="20">
        <v>6</v>
      </c>
      <c r="D12" s="21"/>
      <c r="E12" s="4">
        <f>ABS(_xlfn.T.INV(E$4,$C12))</f>
        <v>0.71755819649141217</v>
      </c>
      <c r="F12" s="4">
        <f>ABS(_xlfn.T.INV(F$4,$C12))</f>
        <v>0.905703285180531</v>
      </c>
      <c r="G12" s="4">
        <f>ABS(_xlfn.T.INV(G$4,$C12))</f>
        <v>1.4397557472651481</v>
      </c>
      <c r="H12" s="4">
        <f>ABS(_xlfn.T.INV(H$4,$C12))</f>
        <v>1.9431802805153031</v>
      </c>
      <c r="I12" s="4">
        <f>ABS(_xlfn.T.INV(I$4,$C12))</f>
        <v>2.4469118511449697</v>
      </c>
      <c r="J12" s="4">
        <f>ABS(_xlfn.T.INV(J$4,$C12))</f>
        <v>3.1426684032909828</v>
      </c>
      <c r="K12" s="4">
        <f>ABS(_xlfn.T.INV(K$4,$C12))</f>
        <v>3.7074280213247794</v>
      </c>
      <c r="L12" s="5">
        <f>ABS(_xlfn.T.INV(L$4,$C12))</f>
        <v>5.9588161788187586</v>
      </c>
    </row>
    <row r="13" spans="3:12" ht="15" customHeight="1" x14ac:dyDescent="0.55000000000000004">
      <c r="C13" s="20">
        <v>7</v>
      </c>
      <c r="D13" s="21"/>
      <c r="E13" s="4">
        <f>ABS(_xlfn.T.INV(E$4,$C13))</f>
        <v>0.71114177808178591</v>
      </c>
      <c r="F13" s="4">
        <f>ABS(_xlfn.T.INV(F$4,$C13))</f>
        <v>0.89602964431376519</v>
      </c>
      <c r="G13" s="4">
        <f>ABS(_xlfn.T.INV(G$4,$C13))</f>
        <v>1.4149239276505079</v>
      </c>
      <c r="H13" s="4">
        <f>ABS(_xlfn.T.INV(H$4,$C13))</f>
        <v>1.8945786050900073</v>
      </c>
      <c r="I13" s="4">
        <f>ABS(_xlfn.T.INV(I$4,$C13))</f>
        <v>2.3646242515927849</v>
      </c>
      <c r="J13" s="4">
        <f>ABS(_xlfn.T.INV(J$4,$C13))</f>
        <v>2.997951566868529</v>
      </c>
      <c r="K13" s="4">
        <f>ABS(_xlfn.T.INV(K$4,$C13))</f>
        <v>3.4994832973504946</v>
      </c>
      <c r="L13" s="5">
        <f>ABS(_xlfn.T.INV(L$4,$C13))</f>
        <v>5.4078825208617252</v>
      </c>
    </row>
    <row r="14" spans="3:12" ht="15" customHeight="1" x14ac:dyDescent="0.55000000000000004">
      <c r="C14" s="20">
        <v>8</v>
      </c>
      <c r="D14" s="21"/>
      <c r="E14" s="4">
        <f>ABS(_xlfn.T.INV(E$4,$C14))</f>
        <v>0.70638661264483749</v>
      </c>
      <c r="F14" s="4">
        <f>ABS(_xlfn.T.INV(F$4,$C14))</f>
        <v>0.88888951776701974</v>
      </c>
      <c r="G14" s="4">
        <f>ABS(_xlfn.T.INV(G$4,$C14))</f>
        <v>1.3968153097438645</v>
      </c>
      <c r="H14" s="4">
        <f>ABS(_xlfn.T.INV(H$4,$C14))</f>
        <v>1.8595480375308981</v>
      </c>
      <c r="I14" s="4">
        <f>ABS(_xlfn.T.INV(I$4,$C14))</f>
        <v>2.3060041352041671</v>
      </c>
      <c r="J14" s="4">
        <f>ABS(_xlfn.T.INV(J$4,$C14))</f>
        <v>2.8964594477096224</v>
      </c>
      <c r="K14" s="4">
        <f>ABS(_xlfn.T.INV(K$4,$C14))</f>
        <v>3.3553873313333953</v>
      </c>
      <c r="L14" s="5">
        <f>ABS(_xlfn.T.INV(L$4,$C14))</f>
        <v>5.0413054333733669</v>
      </c>
    </row>
    <row r="15" spans="3:12" ht="15" customHeight="1" x14ac:dyDescent="0.55000000000000004">
      <c r="C15" s="20">
        <v>9</v>
      </c>
      <c r="D15" s="21"/>
      <c r="E15" s="4">
        <f>ABS(_xlfn.T.INV(E$4,$C15))</f>
        <v>0.70272214675132494</v>
      </c>
      <c r="F15" s="4">
        <f>ABS(_xlfn.T.INV(F$4,$C15))</f>
        <v>0.8834038596855347</v>
      </c>
      <c r="G15" s="4">
        <f>ABS(_xlfn.T.INV(G$4,$C15))</f>
        <v>1.383028738396632</v>
      </c>
      <c r="H15" s="4">
        <f>ABS(_xlfn.T.INV(H$4,$C15))</f>
        <v>1.8331129326562374</v>
      </c>
      <c r="I15" s="4">
        <f>ABS(_xlfn.T.INV(I$4,$C15))</f>
        <v>2.2621571627982053</v>
      </c>
      <c r="J15" s="4">
        <f>ABS(_xlfn.T.INV(J$4,$C15))</f>
        <v>2.8214379250258084</v>
      </c>
      <c r="K15" s="4">
        <f>ABS(_xlfn.T.INV(K$4,$C15))</f>
        <v>3.2498355415921263</v>
      </c>
      <c r="L15" s="5">
        <f>ABS(_xlfn.T.INV(L$4,$C15))</f>
        <v>4.7809125859311381</v>
      </c>
    </row>
    <row r="16" spans="3:12" ht="15" customHeight="1" x14ac:dyDescent="0.55000000000000004">
      <c r="C16" s="20">
        <v>10</v>
      </c>
      <c r="D16" s="21"/>
      <c r="E16" s="4">
        <f>ABS(_xlfn.T.INV(E$4,$C16))</f>
        <v>0.69981206131243168</v>
      </c>
      <c r="F16" s="4">
        <f>ABS(_xlfn.T.INV(F$4,$C16))</f>
        <v>0.87905782855058789</v>
      </c>
      <c r="G16" s="4">
        <f>ABS(_xlfn.T.INV(G$4,$C16))</f>
        <v>1.3721836411103363</v>
      </c>
      <c r="H16" s="4">
        <f>ABS(_xlfn.T.INV(H$4,$C16))</f>
        <v>1.812461122811676</v>
      </c>
      <c r="I16" s="4">
        <f>ABS(_xlfn.T.INV(I$4,$C16))</f>
        <v>2.2281388519862744</v>
      </c>
      <c r="J16" s="4">
        <f>ABS(_xlfn.T.INV(J$4,$C16))</f>
        <v>2.7637694581126966</v>
      </c>
      <c r="K16" s="4">
        <f>ABS(_xlfn.T.INV(K$4,$C16))</f>
        <v>3.1692726726169518</v>
      </c>
      <c r="L16" s="5">
        <f>ABS(_xlfn.T.INV(L$4,$C16))</f>
        <v>4.586893858702636</v>
      </c>
    </row>
    <row r="17" spans="3:12" ht="15" customHeight="1" x14ac:dyDescent="0.55000000000000004">
      <c r="C17" s="20"/>
      <c r="D17" s="21"/>
      <c r="E17" s="6"/>
      <c r="F17" s="6"/>
      <c r="G17" s="6"/>
      <c r="H17" s="6"/>
      <c r="I17" s="6"/>
      <c r="J17" s="6"/>
      <c r="K17" s="6"/>
      <c r="L17" s="7"/>
    </row>
    <row r="18" spans="3:12" ht="15" customHeight="1" x14ac:dyDescent="0.55000000000000004">
      <c r="C18" s="20">
        <v>11</v>
      </c>
      <c r="D18" s="21"/>
      <c r="E18" s="4">
        <f>ABS(_xlfn.T.INV(E$4,$C18))</f>
        <v>0.69744532755988053</v>
      </c>
      <c r="F18" s="4">
        <f>ABS(_xlfn.T.INV(F$4,$C18))</f>
        <v>0.87552997807388222</v>
      </c>
      <c r="G18" s="4">
        <f>ABS(_xlfn.T.INV(G$4,$C18))</f>
        <v>1.3634303180205409</v>
      </c>
      <c r="H18" s="4">
        <f>ABS(_xlfn.T.INV(H$4,$C18))</f>
        <v>1.7958848187040437</v>
      </c>
      <c r="I18" s="4">
        <f>ABS(_xlfn.T.INV(I$4,$C18))</f>
        <v>2.2009851600916384</v>
      </c>
      <c r="J18" s="4">
        <f>ABS(_xlfn.T.INV(J$4,$C18))</f>
        <v>2.7180791838138614</v>
      </c>
      <c r="K18" s="4">
        <f>ABS(_xlfn.T.INV(K$4,$C18))</f>
        <v>3.1058065155392809</v>
      </c>
      <c r="L18" s="5">
        <f>ABS(_xlfn.T.INV(L$4,$C18))</f>
        <v>4.4369793382344493</v>
      </c>
    </row>
    <row r="19" spans="3:12" ht="15" customHeight="1" x14ac:dyDescent="0.55000000000000004">
      <c r="C19" s="20">
        <v>12</v>
      </c>
      <c r="D19" s="21"/>
      <c r="E19" s="4">
        <f>ABS(_xlfn.T.INV(E$4,$C19))</f>
        <v>0.69548286551179161</v>
      </c>
      <c r="F19" s="4">
        <f>ABS(_xlfn.T.INV(F$4,$C19))</f>
        <v>0.87260929158813794</v>
      </c>
      <c r="G19" s="4">
        <f>ABS(_xlfn.T.INV(G$4,$C19))</f>
        <v>1.3562173340232047</v>
      </c>
      <c r="H19" s="4">
        <f>ABS(_xlfn.T.INV(H$4,$C19))</f>
        <v>1.7822875556493194</v>
      </c>
      <c r="I19" s="4">
        <f>ABS(_xlfn.T.INV(I$4,$C19))</f>
        <v>2.1788128296672284</v>
      </c>
      <c r="J19" s="4">
        <f>ABS(_xlfn.T.INV(J$4,$C19))</f>
        <v>2.6809979931209149</v>
      </c>
      <c r="K19" s="4">
        <f>ABS(_xlfn.T.INV(K$4,$C19))</f>
        <v>3.0545395893929017</v>
      </c>
      <c r="L19" s="5">
        <f>ABS(_xlfn.T.INV(L$4,$C19))</f>
        <v>4.3177912836061845</v>
      </c>
    </row>
    <row r="20" spans="3:12" ht="15" customHeight="1" x14ac:dyDescent="0.55000000000000004">
      <c r="C20" s="20">
        <v>13</v>
      </c>
      <c r="D20" s="21"/>
      <c r="E20" s="4">
        <f>ABS(_xlfn.T.INV(E$4,$C20))</f>
        <v>0.69382930423544042</v>
      </c>
      <c r="F20" s="4">
        <f>ABS(_xlfn.T.INV(F$4,$C20))</f>
        <v>0.87015153396817235</v>
      </c>
      <c r="G20" s="4">
        <f>ABS(_xlfn.T.INV(G$4,$C20))</f>
        <v>1.3501712887800554</v>
      </c>
      <c r="H20" s="4">
        <f>ABS(_xlfn.T.INV(H$4,$C20))</f>
        <v>1.7709333959868729</v>
      </c>
      <c r="I20" s="4">
        <f>ABS(_xlfn.T.INV(I$4,$C20))</f>
        <v>2.1603686564627926</v>
      </c>
      <c r="J20" s="4">
        <f>ABS(_xlfn.T.INV(J$4,$C20))</f>
        <v>2.650308837912192</v>
      </c>
      <c r="K20" s="4">
        <f>ABS(_xlfn.T.INV(K$4,$C20))</f>
        <v>3.0122758387165782</v>
      </c>
      <c r="L20" s="5">
        <f>ABS(_xlfn.T.INV(L$4,$C20))</f>
        <v>4.2208317277071208</v>
      </c>
    </row>
    <row r="21" spans="3:12" ht="15" customHeight="1" x14ac:dyDescent="0.55000000000000004">
      <c r="C21" s="20">
        <v>14</v>
      </c>
      <c r="D21" s="21"/>
      <c r="E21" s="4">
        <f>ABS(_xlfn.T.INV(E$4,$C21))</f>
        <v>0.69241706957000537</v>
      </c>
      <c r="F21" s="4">
        <f>ABS(_xlfn.T.INV(F$4,$C21))</f>
        <v>0.86805478155742033</v>
      </c>
      <c r="G21" s="4">
        <f>ABS(_xlfn.T.INV(G$4,$C21))</f>
        <v>1.3450303744546506</v>
      </c>
      <c r="H21" s="4">
        <f>ABS(_xlfn.T.INV(H$4,$C21))</f>
        <v>1.7613101357748921</v>
      </c>
      <c r="I21" s="4">
        <f>ABS(_xlfn.T.INV(I$4,$C21))</f>
        <v>2.1447866879178044</v>
      </c>
      <c r="J21" s="4">
        <f>ABS(_xlfn.T.INV(J$4,$C21))</f>
        <v>2.6244940675900517</v>
      </c>
      <c r="K21" s="4">
        <f>ABS(_xlfn.T.INV(K$4,$C21))</f>
        <v>2.9768427343708348</v>
      </c>
      <c r="L21" s="5">
        <f>ABS(_xlfn.T.INV(L$4,$C21))</f>
        <v>4.1404541127382029</v>
      </c>
    </row>
    <row r="22" spans="3:12" ht="15" customHeight="1" x14ac:dyDescent="0.55000000000000004">
      <c r="C22" s="20">
        <v>15</v>
      </c>
      <c r="D22" s="21"/>
      <c r="E22" s="4">
        <f>ABS(_xlfn.T.INV(E$4,$C22))</f>
        <v>0.6911969489584906</v>
      </c>
      <c r="F22" s="4">
        <f>ABS(_xlfn.T.INV(F$4,$C22))</f>
        <v>0.86624497319495286</v>
      </c>
      <c r="G22" s="4">
        <f>ABS(_xlfn.T.INV(G$4,$C22))</f>
        <v>1.3406056078504547</v>
      </c>
      <c r="H22" s="4">
        <f>ABS(_xlfn.T.INV(H$4,$C22))</f>
        <v>1.7530503556925723</v>
      </c>
      <c r="I22" s="4">
        <f>ABS(_xlfn.T.INV(I$4,$C22))</f>
        <v>2.1314495455597742</v>
      </c>
      <c r="J22" s="4">
        <f>ABS(_xlfn.T.INV(J$4,$C22))</f>
        <v>2.6024802950111221</v>
      </c>
      <c r="K22" s="4">
        <f>ABS(_xlfn.T.INV(K$4,$C22))</f>
        <v>2.9467128834752381</v>
      </c>
      <c r="L22" s="5">
        <f>ABS(_xlfn.T.INV(L$4,$C22))</f>
        <v>4.0727651959037905</v>
      </c>
    </row>
    <row r="23" spans="3:12" ht="15" customHeight="1" x14ac:dyDescent="0.55000000000000004">
      <c r="C23" s="20"/>
      <c r="D23" s="21"/>
      <c r="E23" s="6"/>
      <c r="F23" s="6"/>
      <c r="G23" s="6"/>
      <c r="H23" s="6"/>
      <c r="I23" s="6"/>
      <c r="J23" s="6"/>
      <c r="K23" s="6"/>
      <c r="L23" s="7"/>
    </row>
    <row r="24" spans="3:12" ht="15" customHeight="1" x14ac:dyDescent="0.55000000000000004">
      <c r="C24" s="20">
        <v>16</v>
      </c>
      <c r="D24" s="21"/>
      <c r="E24" s="4">
        <f>ABS(_xlfn.T.INV(E$4,$C24))</f>
        <v>0.69013225381055954</v>
      </c>
      <c r="F24" s="4">
        <f>ABS(_xlfn.T.INV(F$4,$C24))</f>
        <v>0.86466700179829137</v>
      </c>
      <c r="G24" s="4">
        <f>ABS(_xlfn.T.INV(G$4,$C24))</f>
        <v>1.3367571673273144</v>
      </c>
      <c r="H24" s="4">
        <f>ABS(_xlfn.T.INV(H$4,$C24))</f>
        <v>1.7458836762762506</v>
      </c>
      <c r="I24" s="4">
        <f>ABS(_xlfn.T.INV(I$4,$C24))</f>
        <v>2.119905299221255</v>
      </c>
      <c r="J24" s="4">
        <f>ABS(_xlfn.T.INV(J$4,$C24))</f>
        <v>2.5834871852759917</v>
      </c>
      <c r="K24" s="4">
        <f>ABS(_xlfn.T.INV(K$4,$C24))</f>
        <v>2.9207816224251002</v>
      </c>
      <c r="L24" s="5">
        <f>ABS(_xlfn.T.INV(L$4,$C24))</f>
        <v>4.0149963271840559</v>
      </c>
    </row>
    <row r="25" spans="3:12" ht="15" customHeight="1" x14ac:dyDescent="0.55000000000000004">
      <c r="C25" s="20">
        <v>17</v>
      </c>
      <c r="D25" s="21"/>
      <c r="E25" s="4">
        <f>ABS(_xlfn.T.INV(E$4,$C25))</f>
        <v>0.68919507515393985</v>
      </c>
      <c r="F25" s="4">
        <f>ABS(_xlfn.T.INV(F$4,$C25))</f>
        <v>0.86327901742005297</v>
      </c>
      <c r="G25" s="4">
        <f>ABS(_xlfn.T.INV(G$4,$C25))</f>
        <v>1.3333793897216262</v>
      </c>
      <c r="H25" s="4">
        <f>ABS(_xlfn.T.INV(H$4,$C25))</f>
        <v>1.7396067260750732</v>
      </c>
      <c r="I25" s="4">
        <f>ABS(_xlfn.T.INV(I$4,$C25))</f>
        <v>2.109815577833317</v>
      </c>
      <c r="J25" s="4">
        <f>ABS(_xlfn.T.INV(J$4,$C25))</f>
        <v>2.5669339837247178</v>
      </c>
      <c r="K25" s="4">
        <f>ABS(_xlfn.T.INV(K$4,$C25))</f>
        <v>2.8982305196774178</v>
      </c>
      <c r="L25" s="5">
        <f>ABS(_xlfn.T.INV(L$4,$C25))</f>
        <v>3.9651262721190315</v>
      </c>
    </row>
    <row r="26" spans="3:12" ht="15" customHeight="1" x14ac:dyDescent="0.55000000000000004">
      <c r="C26" s="20">
        <v>18</v>
      </c>
      <c r="D26" s="21"/>
      <c r="E26" s="4">
        <f>ABS(_xlfn.T.INV(E$4,$C26))</f>
        <v>0.68836380646620021</v>
      </c>
      <c r="F26" s="4">
        <f>ABS(_xlfn.T.INV(F$4,$C26))</f>
        <v>0.86204866798959834</v>
      </c>
      <c r="G26" s="4">
        <f>ABS(_xlfn.T.INV(G$4,$C26))</f>
        <v>1.3303909435699084</v>
      </c>
      <c r="H26" s="4">
        <f>ABS(_xlfn.T.INV(H$4,$C26))</f>
        <v>1.7340636066175394</v>
      </c>
      <c r="I26" s="4">
        <f>ABS(_xlfn.T.INV(I$4,$C26))</f>
        <v>2.1009220402410378</v>
      </c>
      <c r="J26" s="4">
        <f>ABS(_xlfn.T.INV(J$4,$C26))</f>
        <v>2.552379630182251</v>
      </c>
      <c r="K26" s="4">
        <f>ABS(_xlfn.T.INV(K$4,$C26))</f>
        <v>2.8784404727386073</v>
      </c>
      <c r="L26" s="5">
        <f>ABS(_xlfn.T.INV(L$4,$C26))</f>
        <v>3.9216458250851596</v>
      </c>
    </row>
    <row r="27" spans="3:12" ht="15" customHeight="1" x14ac:dyDescent="0.55000000000000004">
      <c r="C27" s="20">
        <v>19</v>
      </c>
      <c r="D27" s="21"/>
      <c r="E27" s="4">
        <f>ABS(_xlfn.T.INV(E$4,$C27))</f>
        <v>0.68762146020395809</v>
      </c>
      <c r="F27" s="4">
        <f>ABS(_xlfn.T.INV(F$4,$C27))</f>
        <v>0.86095055026892919</v>
      </c>
      <c r="G27" s="4">
        <f>ABS(_xlfn.T.INV(G$4,$C27))</f>
        <v>1.3277282090267981</v>
      </c>
      <c r="H27" s="4">
        <f>ABS(_xlfn.T.INV(H$4,$C27))</f>
        <v>1.7291328115213698</v>
      </c>
      <c r="I27" s="4">
        <f>ABS(_xlfn.T.INV(I$4,$C27))</f>
        <v>2.0930240544083096</v>
      </c>
      <c r="J27" s="4">
        <f>ABS(_xlfn.T.INV(J$4,$C27))</f>
        <v>2.5394831906239612</v>
      </c>
      <c r="K27" s="4">
        <f>ABS(_xlfn.T.INV(K$4,$C27))</f>
        <v>2.8609346064649799</v>
      </c>
      <c r="L27" s="5">
        <f>ABS(_xlfn.T.INV(L$4,$C27))</f>
        <v>3.883405852592082</v>
      </c>
    </row>
    <row r="28" spans="3:12" ht="15" customHeight="1" x14ac:dyDescent="0.55000000000000004">
      <c r="C28" s="20">
        <v>20</v>
      </c>
      <c r="D28" s="21"/>
      <c r="E28" s="4">
        <f>ABS(_xlfn.T.INV(E$4,$C28))</f>
        <v>0.68695449644880313</v>
      </c>
      <c r="F28" s="4">
        <f>ABS(_xlfn.T.INV(F$4,$C28))</f>
        <v>0.85996443973238734</v>
      </c>
      <c r="G28" s="4">
        <f>ABS(_xlfn.T.INV(G$4,$C28))</f>
        <v>1.3253407069850465</v>
      </c>
      <c r="H28" s="4">
        <f>ABS(_xlfn.T.INV(H$4,$C28))</f>
        <v>1.7247182429207868</v>
      </c>
      <c r="I28" s="4">
        <f>ABS(_xlfn.T.INV(I$4,$C28))</f>
        <v>2.0859634472658648</v>
      </c>
      <c r="J28" s="4">
        <f>ABS(_xlfn.T.INV(J$4,$C28))</f>
        <v>2.5279770027415731</v>
      </c>
      <c r="K28" s="4">
        <f>ABS(_xlfn.T.INV(K$4,$C28))</f>
        <v>2.8453397097861091</v>
      </c>
      <c r="L28" s="5">
        <f>ABS(_xlfn.T.INV(L$4,$C28))</f>
        <v>3.8495162749308265</v>
      </c>
    </row>
    <row r="29" spans="3:12" ht="15" customHeight="1" x14ac:dyDescent="0.55000000000000004">
      <c r="C29" s="20"/>
      <c r="D29" s="21"/>
      <c r="E29" s="6"/>
      <c r="F29" s="6"/>
      <c r="G29" s="6"/>
      <c r="H29" s="6"/>
      <c r="I29" s="6"/>
      <c r="J29" s="6"/>
      <c r="K29" s="6"/>
      <c r="L29" s="7"/>
    </row>
    <row r="30" spans="3:12" ht="15" customHeight="1" x14ac:dyDescent="0.55000000000000004">
      <c r="C30" s="20">
        <v>21</v>
      </c>
      <c r="D30" s="21"/>
      <c r="E30" s="4">
        <f>ABS(_xlfn.T.INV(E$4,$C30))</f>
        <v>0.68635199072695385</v>
      </c>
      <c r="F30" s="4">
        <f>ABS(_xlfn.T.INV(F$4,$C30))</f>
        <v>0.85907403519482572</v>
      </c>
      <c r="G30" s="4">
        <f>ABS(_xlfn.T.INV(G$4,$C30))</f>
        <v>1.3231878738651732</v>
      </c>
      <c r="H30" s="4">
        <f>ABS(_xlfn.T.INV(H$4,$C30))</f>
        <v>1.7207429028118781</v>
      </c>
      <c r="I30" s="4">
        <f>ABS(_xlfn.T.INV(I$4,$C30))</f>
        <v>2.07961384472768</v>
      </c>
      <c r="J30" s="4">
        <f>ABS(_xlfn.T.INV(J$4,$C30))</f>
        <v>2.5176480160447423</v>
      </c>
      <c r="K30" s="4">
        <f>ABS(_xlfn.T.INV(K$4,$C30))</f>
        <v>2.8313595580230499</v>
      </c>
      <c r="L30" s="5">
        <f>ABS(_xlfn.T.INV(L$4,$C30))</f>
        <v>3.8192771642744621</v>
      </c>
    </row>
    <row r="31" spans="3:12" ht="15" customHeight="1" x14ac:dyDescent="0.55000000000000004">
      <c r="C31" s="20">
        <v>22</v>
      </c>
      <c r="D31" s="21"/>
      <c r="E31" s="4">
        <f>ABS(_xlfn.T.INV(E$4,$C31))</f>
        <v>0.68580503172188534</v>
      </c>
      <c r="F31" s="4">
        <f>ABS(_xlfn.T.INV(F$4,$C31))</f>
        <v>0.85826605165820524</v>
      </c>
      <c r="G31" s="4">
        <f>ABS(_xlfn.T.INV(G$4,$C31))</f>
        <v>1.3212367416133624</v>
      </c>
      <c r="H31" s="4">
        <f>ABS(_xlfn.T.INV(H$4,$C31))</f>
        <v>1.7171443743802424</v>
      </c>
      <c r="I31" s="4">
        <f>ABS(_xlfn.T.INV(I$4,$C31))</f>
        <v>2.0738730679040258</v>
      </c>
      <c r="J31" s="4">
        <f>ABS(_xlfn.T.INV(J$4,$C31))</f>
        <v>2.5083245528990807</v>
      </c>
      <c r="K31" s="4">
        <f>ABS(_xlfn.T.INV(K$4,$C31))</f>
        <v>2.8187560606001436</v>
      </c>
      <c r="L31" s="5">
        <f>ABS(_xlfn.T.INV(L$4,$C31))</f>
        <v>3.79213067169839</v>
      </c>
    </row>
    <row r="32" spans="3:12" ht="15" customHeight="1" x14ac:dyDescent="0.55000000000000004">
      <c r="C32" s="20">
        <v>23</v>
      </c>
      <c r="D32" s="21"/>
      <c r="E32" s="4">
        <f>ABS(_xlfn.T.INV(E$4,$C32))</f>
        <v>0.68530627806129341</v>
      </c>
      <c r="F32" s="4">
        <f>ABS(_xlfn.T.INV(F$4,$C32))</f>
        <v>0.85752955368803352</v>
      </c>
      <c r="G32" s="4">
        <f>ABS(_xlfn.T.INV(G$4,$C32))</f>
        <v>1.3194602398161621</v>
      </c>
      <c r="H32" s="4">
        <f>ABS(_xlfn.T.INV(H$4,$C32))</f>
        <v>1.7138715277470482</v>
      </c>
      <c r="I32" s="4">
        <f>ABS(_xlfn.T.INV(I$4,$C32))</f>
        <v>2.0686576104190491</v>
      </c>
      <c r="J32" s="4">
        <f>ABS(_xlfn.T.INV(J$4,$C32))</f>
        <v>2.4998667394946681</v>
      </c>
      <c r="K32" s="4">
        <f>ABS(_xlfn.T.INV(K$4,$C32))</f>
        <v>2.807335683769999</v>
      </c>
      <c r="L32" s="5">
        <f>ABS(_xlfn.T.INV(L$4,$C32))</f>
        <v>3.7676268043117811</v>
      </c>
    </row>
    <row r="33" spans="3:12" ht="15" customHeight="1" x14ac:dyDescent="0.55000000000000004">
      <c r="C33" s="20">
        <v>24</v>
      </c>
      <c r="D33" s="21"/>
      <c r="E33" s="4">
        <f>ABS(_xlfn.T.INV(E$4,$C33))</f>
        <v>0.68484962723698206</v>
      </c>
      <c r="F33" s="4">
        <f>ABS(_xlfn.T.INV(F$4,$C33))</f>
        <v>0.85685545807565711</v>
      </c>
      <c r="G33" s="4">
        <f>ABS(_xlfn.T.INV(G$4,$C33))</f>
        <v>1.3178359336731498</v>
      </c>
      <c r="H33" s="4">
        <f>ABS(_xlfn.T.INV(H$4,$C33))</f>
        <v>1.7108820799094284</v>
      </c>
      <c r="I33" s="4">
        <f>ABS(_xlfn.T.INV(I$4,$C33))</f>
        <v>2.0638985616280254</v>
      </c>
      <c r="J33" s="4">
        <f>ABS(_xlfn.T.INV(J$4,$C33))</f>
        <v>2.492159473157757</v>
      </c>
      <c r="K33" s="4">
        <f>ABS(_xlfn.T.INV(K$4,$C33))</f>
        <v>2.7969395047744556</v>
      </c>
      <c r="L33" s="5">
        <f>ABS(_xlfn.T.INV(L$4,$C33))</f>
        <v>3.7453986192900528</v>
      </c>
    </row>
    <row r="34" spans="3:12" ht="15" customHeight="1" x14ac:dyDescent="0.55000000000000004">
      <c r="C34" s="20">
        <v>25</v>
      </c>
      <c r="D34" s="21"/>
      <c r="E34" s="4">
        <f>ABS(_xlfn.T.INV(E$4,$C34))</f>
        <v>0.68442996490426722</v>
      </c>
      <c r="F34" s="4">
        <f>ABS(_xlfn.T.INV(F$4,$C34))</f>
        <v>0.85623615767646943</v>
      </c>
      <c r="G34" s="4">
        <f>ABS(_xlfn.T.INV(G$4,$C34))</f>
        <v>1.3163450726738706</v>
      </c>
      <c r="H34" s="4">
        <f>ABS(_xlfn.T.INV(H$4,$C34))</f>
        <v>1.7081407612518986</v>
      </c>
      <c r="I34" s="4">
        <f>ABS(_xlfn.T.INV(I$4,$C34))</f>
        <v>2.0595385527532977</v>
      </c>
      <c r="J34" s="4">
        <f>ABS(_xlfn.T.INV(J$4,$C34))</f>
        <v>2.485107175410763</v>
      </c>
      <c r="K34" s="4">
        <f>ABS(_xlfn.T.INV(K$4,$C34))</f>
        <v>2.7874358136769706</v>
      </c>
      <c r="L34" s="5">
        <f>ABS(_xlfn.T.INV(L$4,$C34))</f>
        <v>3.7251439497286496</v>
      </c>
    </row>
    <row r="35" spans="3:12" ht="15" customHeight="1" x14ac:dyDescent="0.55000000000000004">
      <c r="C35" s="20"/>
      <c r="D35" s="21"/>
      <c r="E35" s="6"/>
      <c r="F35" s="6"/>
      <c r="G35" s="6"/>
      <c r="H35" s="6"/>
      <c r="I35" s="6"/>
      <c r="J35" s="6"/>
      <c r="K35" s="6"/>
      <c r="L35" s="7"/>
    </row>
    <row r="36" spans="3:12" ht="15" customHeight="1" x14ac:dyDescent="0.55000000000000004">
      <c r="C36" s="20">
        <v>26</v>
      </c>
      <c r="D36" s="21"/>
      <c r="E36" s="4">
        <f>ABS(_xlfn.T.INV(E$4,$C36))</f>
        <v>0.68404297268287217</v>
      </c>
      <c r="F36" s="4">
        <f>ABS(_xlfn.T.INV(F$4,$C36))</f>
        <v>0.85566523332816824</v>
      </c>
      <c r="G36" s="4">
        <f>ABS(_xlfn.T.INV(G$4,$C36))</f>
        <v>1.3149718642705173</v>
      </c>
      <c r="H36" s="4">
        <f>ABS(_xlfn.T.INV(H$4,$C36))</f>
        <v>1.7056179197592738</v>
      </c>
      <c r="I36" s="4">
        <f>ABS(_xlfn.T.INV(I$4,$C36))</f>
        <v>2.0555294386428731</v>
      </c>
      <c r="J36" s="4">
        <f>ABS(_xlfn.T.INV(J$4,$C36))</f>
        <v>2.4786298235912425</v>
      </c>
      <c r="K36" s="4">
        <f>ABS(_xlfn.T.INV(K$4,$C36))</f>
        <v>2.7787145333296839</v>
      </c>
      <c r="L36" s="5">
        <f>ABS(_xlfn.T.INV(L$4,$C36))</f>
        <v>3.7066117434809116</v>
      </c>
    </row>
    <row r="37" spans="3:12" ht="15" customHeight="1" x14ac:dyDescent="0.55000000000000004">
      <c r="C37" s="20">
        <v>27</v>
      </c>
      <c r="D37" s="21"/>
      <c r="E37" s="4">
        <f>ABS(_xlfn.T.INV(E$4,$C37))</f>
        <v>0.68368497913103199</v>
      </c>
      <c r="F37" s="4">
        <f>ABS(_xlfn.T.INV(F$4,$C37))</f>
        <v>0.85513723069428371</v>
      </c>
      <c r="G37" s="4">
        <f>ABS(_xlfn.T.INV(G$4,$C37))</f>
        <v>1.3137029128292739</v>
      </c>
      <c r="H37" s="4">
        <f>ABS(_xlfn.T.INV(H$4,$C37))</f>
        <v>1.7032884457221271</v>
      </c>
      <c r="I37" s="4">
        <f>ABS(_xlfn.T.INV(I$4,$C37))</f>
        <v>2.0518305164802859</v>
      </c>
      <c r="J37" s="4">
        <f>ABS(_xlfn.T.INV(J$4,$C37))</f>
        <v>2.4726599119560069</v>
      </c>
      <c r="K37" s="4">
        <f>ABS(_xlfn.T.INV(K$4,$C37))</f>
        <v>2.770682957122212</v>
      </c>
      <c r="L37" s="5">
        <f>ABS(_xlfn.T.INV(L$4,$C37))</f>
        <v>3.6895917134592362</v>
      </c>
    </row>
    <row r="38" spans="3:12" ht="15" customHeight="1" x14ac:dyDescent="0.55000000000000004">
      <c r="C38" s="20">
        <v>28</v>
      </c>
      <c r="D38" s="21"/>
      <c r="E38" s="4">
        <f>ABS(_xlfn.T.INV(E$4,$C38))</f>
        <v>0.68335284298850385</v>
      </c>
      <c r="F38" s="4">
        <f>ABS(_xlfn.T.INV(F$4,$C38))</f>
        <v>0.85464748558222203</v>
      </c>
      <c r="G38" s="4">
        <f>ABS(_xlfn.T.INV(G$4,$C38))</f>
        <v>1.3125267815926682</v>
      </c>
      <c r="H38" s="4">
        <f>ABS(_xlfn.T.INV(H$4,$C38))</f>
        <v>1.7011309342659326</v>
      </c>
      <c r="I38" s="4">
        <f>ABS(_xlfn.T.INV(I$4,$C38))</f>
        <v>2.0484071417952445</v>
      </c>
      <c r="J38" s="4">
        <f>ABS(_xlfn.T.INV(J$4,$C38))</f>
        <v>2.467140097967472</v>
      </c>
      <c r="K38" s="4">
        <f>ABS(_xlfn.T.INV(K$4,$C38))</f>
        <v>2.7632624554614447</v>
      </c>
      <c r="L38" s="5">
        <f>ABS(_xlfn.T.INV(L$4,$C38))</f>
        <v>3.6739064007012763</v>
      </c>
    </row>
    <row r="39" spans="3:12" ht="15" customHeight="1" x14ac:dyDescent="0.55000000000000004">
      <c r="C39" s="20">
        <v>29</v>
      </c>
      <c r="D39" s="21"/>
      <c r="E39" s="4">
        <f>ABS(_xlfn.T.INV(E$4,$C39))</f>
        <v>0.68304386082161361</v>
      </c>
      <c r="F39" s="4">
        <f>ABS(_xlfn.T.INV(F$4,$C39))</f>
        <v>0.85419198588185485</v>
      </c>
      <c r="G39" s="4">
        <f>ABS(_xlfn.T.INV(G$4,$C39))</f>
        <v>1.3114336473015527</v>
      </c>
      <c r="H39" s="4">
        <f>ABS(_xlfn.T.INV(H$4,$C39))</f>
        <v>1.6991270265334986</v>
      </c>
      <c r="I39" s="4">
        <f>ABS(_xlfn.T.INV(I$4,$C39))</f>
        <v>2.0452296421327048</v>
      </c>
      <c r="J39" s="4">
        <f>ABS(_xlfn.T.INV(J$4,$C39))</f>
        <v>2.4620213601504126</v>
      </c>
      <c r="K39" s="4">
        <f>ABS(_xlfn.T.INV(K$4,$C39))</f>
        <v>2.7563859036706049</v>
      </c>
      <c r="L39" s="5">
        <f>ABS(_xlfn.T.INV(L$4,$C39))</f>
        <v>3.659405019466333</v>
      </c>
    </row>
    <row r="40" spans="3:12" ht="15" customHeight="1" x14ac:dyDescent="0.55000000000000004">
      <c r="C40" s="20">
        <v>30</v>
      </c>
      <c r="D40" s="21"/>
      <c r="E40" s="4">
        <f>ABS(_xlfn.T.INV(E$4,$C40))</f>
        <v>0.68275569332128949</v>
      </c>
      <c r="F40" s="4">
        <f>ABS(_xlfn.T.INV(F$4,$C40))</f>
        <v>0.85376726147129767</v>
      </c>
      <c r="G40" s="4">
        <f>ABS(_xlfn.T.INV(G$4,$C40))</f>
        <v>1.3104150253913947</v>
      </c>
      <c r="H40" s="4">
        <f>ABS(_xlfn.T.INV(H$4,$C40))</f>
        <v>1.6972608865939587</v>
      </c>
      <c r="I40" s="4">
        <f>ABS(_xlfn.T.INV(I$4,$C40))</f>
        <v>2.0422724563012378</v>
      </c>
      <c r="J40" s="4">
        <f>ABS(_xlfn.T.INV(J$4,$C40))</f>
        <v>2.4572615424005915</v>
      </c>
      <c r="K40" s="4">
        <f>ABS(_xlfn.T.INV(K$4,$C40))</f>
        <v>2.7499956535672259</v>
      </c>
      <c r="L40" s="5">
        <f>ABS(_xlfn.T.INV(L$4,$C40))</f>
        <v>3.6459586350420214</v>
      </c>
    </row>
    <row r="41" spans="3:12" ht="15" customHeight="1" x14ac:dyDescent="0.55000000000000004">
      <c r="C41" s="20"/>
      <c r="D41" s="21"/>
      <c r="E41" s="6"/>
      <c r="F41" s="6"/>
      <c r="G41" s="6"/>
      <c r="H41" s="6"/>
      <c r="I41" s="6"/>
      <c r="J41" s="6"/>
      <c r="K41" s="6"/>
      <c r="L41" s="7"/>
    </row>
    <row r="42" spans="3:12" ht="15" customHeight="1" x14ac:dyDescent="0.55000000000000004">
      <c r="C42" s="20">
        <v>40</v>
      </c>
      <c r="D42" s="21"/>
      <c r="E42" s="4">
        <f>ABS(_xlfn.T.INV(E$4,$C42))</f>
        <v>0.68067271716444966</v>
      </c>
      <c r="F42" s="4">
        <f>ABS(_xlfn.T.INV(F$4,$C42))</f>
        <v>0.85069979579045529</v>
      </c>
      <c r="G42" s="4">
        <f>ABS(_xlfn.T.INV(G$4,$C42))</f>
        <v>1.3030770526071962</v>
      </c>
      <c r="H42" s="4">
        <f>ABS(_xlfn.T.INV(H$4,$C42))</f>
        <v>1.6838510133356521</v>
      </c>
      <c r="I42" s="4">
        <f>ABS(_xlfn.T.INV(I$4,$C42))</f>
        <v>2.0210753903062737</v>
      </c>
      <c r="J42" s="4">
        <f>ABS(_xlfn.T.INV(J$4,$C42))</f>
        <v>2.4232567793348583</v>
      </c>
      <c r="K42" s="4">
        <f>ABS(_xlfn.T.INV(K$4,$C42))</f>
        <v>2.7044592674331631</v>
      </c>
      <c r="L42" s="5">
        <f>ABS(_xlfn.T.INV(L$4,$C42))</f>
        <v>3.5509657608633112</v>
      </c>
    </row>
    <row r="43" spans="3:12" ht="15" customHeight="1" x14ac:dyDescent="0.55000000000000004">
      <c r="C43" s="20">
        <v>60</v>
      </c>
      <c r="D43" s="21"/>
      <c r="E43" s="4">
        <f>ABS(_xlfn.T.INV(E$4,$C43))</f>
        <v>0.67860072064813881</v>
      </c>
      <c r="F43" s="4">
        <f>ABS(_xlfn.T.INV(F$4,$C43))</f>
        <v>0.847653006356612</v>
      </c>
      <c r="G43" s="4">
        <f>ABS(_xlfn.T.INV(G$4,$C43))</f>
        <v>1.2958210935157342</v>
      </c>
      <c r="H43" s="4">
        <f>ABS(_xlfn.T.INV(H$4,$C43))</f>
        <v>1.6706488649046354</v>
      </c>
      <c r="I43" s="4">
        <f>ABS(_xlfn.T.INV(I$4,$C43))</f>
        <v>2.0002978220142609</v>
      </c>
      <c r="J43" s="4">
        <f>ABS(_xlfn.T.INV(J$4,$C43))</f>
        <v>2.3901194726249129</v>
      </c>
      <c r="K43" s="4">
        <f>ABS(_xlfn.T.INV(K$4,$C43))</f>
        <v>2.6602830288550381</v>
      </c>
      <c r="L43" s="5">
        <f>ABS(_xlfn.T.INV(L$4,$C43))</f>
        <v>3.4602004691963555</v>
      </c>
    </row>
    <row r="44" spans="3:12" ht="15" customHeight="1" x14ac:dyDescent="0.55000000000000004">
      <c r="C44" s="20">
        <v>120</v>
      </c>
      <c r="D44" s="21"/>
      <c r="E44" s="4">
        <f>ABS(_xlfn.T.INV(E$4,$C44))</f>
        <v>0.67653972491251135</v>
      </c>
      <c r="F44" s="4">
        <f>ABS(_xlfn.T.INV(F$4,$C44))</f>
        <v>0.84462683774314173</v>
      </c>
      <c r="G44" s="4">
        <f>ABS(_xlfn.T.INV(G$4,$C44))</f>
        <v>1.2886462336563809</v>
      </c>
      <c r="H44" s="4">
        <f>ABS(_xlfn.T.INV(H$4,$C44))</f>
        <v>1.6576508993552355</v>
      </c>
      <c r="I44" s="4">
        <f>ABS(_xlfn.T.INV(I$4,$C44))</f>
        <v>1.9799304050824413</v>
      </c>
      <c r="J44" s="4">
        <f>ABS(_xlfn.T.INV(J$4,$C44))</f>
        <v>2.3578246126487556</v>
      </c>
      <c r="K44" s="4">
        <f>ABS(_xlfn.T.INV(K$4,$C44))</f>
        <v>2.617421145106865</v>
      </c>
      <c r="L44" s="5">
        <f>ABS(_xlfn.T.INV(L$4,$C44))</f>
        <v>3.3734537685625003</v>
      </c>
    </row>
    <row r="45" spans="3:12" ht="15" customHeight="1" x14ac:dyDescent="0.55000000000000004">
      <c r="C45" s="20">
        <v>200</v>
      </c>
      <c r="D45" s="21"/>
      <c r="E45" s="4">
        <f>ABS(_xlfn.T.INV(E$4,$C45))</f>
        <v>0.67571841140421607</v>
      </c>
      <c r="F45" s="4">
        <f>ABS(_xlfn.T.INV(F$4,$C45))</f>
        <v>0.84342213153543399</v>
      </c>
      <c r="G45" s="4">
        <f>ABS(_xlfn.T.INV(G$4,$C45))</f>
        <v>1.2857987939948081</v>
      </c>
      <c r="H45" s="4">
        <f>ABS(_xlfn.T.INV(H$4,$C45))</f>
        <v>1.6525081009108851</v>
      </c>
      <c r="I45" s="4">
        <f>ABS(_xlfn.T.INV(I$4,$C45))</f>
        <v>1.9718962236339095</v>
      </c>
      <c r="J45" s="4">
        <f>ABS(_xlfn.T.INV(J$4,$C45))</f>
        <v>2.3451370822594675</v>
      </c>
      <c r="K45" s="4">
        <f>ABS(_xlfn.T.INV(K$4,$C45))</f>
        <v>2.6006344361915565</v>
      </c>
      <c r="L45" s="5">
        <f>ABS(_xlfn.T.INV(L$4,$C45))</f>
        <v>3.3398354062756765</v>
      </c>
    </row>
    <row r="46" spans="3:12" ht="15" customHeight="1" thickBot="1" x14ac:dyDescent="0.6">
      <c r="C46" s="22" t="s">
        <v>5</v>
      </c>
      <c r="D46" s="23"/>
      <c r="E46" s="9">
        <f>ABS(_xlfn.T.INV(E$4,100000000))</f>
        <v>0.67448974926796168</v>
      </c>
      <c r="F46" s="9">
        <f>ABS(_xlfn.T.INV(F$4,100000000))</f>
        <v>0.84162123827657709</v>
      </c>
      <c r="G46" s="9">
        <f>ABS(_xlfn.T.INV(G$4,100000000))</f>
        <v>1.2815515651918774</v>
      </c>
      <c r="H46" s="9">
        <f>ABS(_xlfn.T.INV(H$4,100000000))</f>
        <v>1.6448536410111307</v>
      </c>
      <c r="I46" s="9">
        <f>ABS(_xlfn.T.INV(I$4,100000000))</f>
        <v>1.9599640064369337</v>
      </c>
      <c r="J46" s="9">
        <f>ABS(_xlfn.T.INV(J$4,100000000))</f>
        <v>2.3263479101647113</v>
      </c>
      <c r="K46" s="9">
        <f>ABS(_xlfn.T.INV(K$4,100000000))</f>
        <v>2.5758293526846576</v>
      </c>
      <c r="L46" s="10">
        <f>ABS(_xlfn.T.INV(L$4,100000000))</f>
        <v>3.2905268302985418</v>
      </c>
    </row>
    <row r="47" spans="3:12" ht="15" customHeight="1" thickTop="1" x14ac:dyDescent="0.55000000000000004"/>
  </sheetData>
  <mergeCells count="50">
    <mergeCell ref="C45:D45"/>
    <mergeCell ref="C46:D46"/>
    <mergeCell ref="E4:E5"/>
    <mergeCell ref="G4:G5"/>
    <mergeCell ref="F4:F5"/>
    <mergeCell ref="H4:H5"/>
    <mergeCell ref="C39:D39"/>
    <mergeCell ref="C40:D40"/>
    <mergeCell ref="C41:D41"/>
    <mergeCell ref="C42:D42"/>
    <mergeCell ref="C43:D43"/>
    <mergeCell ref="C44:D44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2:L2"/>
    <mergeCell ref="C6:D6"/>
    <mergeCell ref="C7:D7"/>
    <mergeCell ref="C8:D8"/>
    <mergeCell ref="I4:I5"/>
    <mergeCell ref="J4:J5"/>
    <mergeCell ref="K4:K5"/>
    <mergeCell ref="L4:L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標準正規分布表</vt:lpstr>
      <vt:lpstr>t分布表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2025-09-03T00:57:58Z</dcterms:modified>
</cp:coreProperties>
</file>