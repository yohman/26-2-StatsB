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sumura\GoogleDrive\tex\reitaku\statistics\2026\須永ベース版_KT\ensyu\04\"/>
    </mc:Choice>
  </mc:AlternateContent>
  <xr:revisionPtr revIDLastSave="0" documentId="8_{C1CBA8EB-8708-4481-AAE5-AEAFA55674C8}" xr6:coauthVersionLast="47" xr6:coauthVersionMax="47" xr10:uidLastSave="{00000000-0000-0000-0000-000000000000}"/>
  <bookViews>
    <workbookView xWindow="4820" yWindow="2780" windowWidth="16460" windowHeight="13140" firstSheet="3" activeTab="5" xr2:uid="{1619192C-3EDD-4E6D-BBFE-580124EDFFF7}"/>
  </bookViews>
  <sheets>
    <sheet name="解答_打率の事例_応用" sheetId="2" r:id="rId1"/>
    <sheet name="打率の事例_応用" sheetId="3" r:id="rId2"/>
    <sheet name="解答_ガチャの事例" sheetId="5" r:id="rId3"/>
    <sheet name="ガチャの事例" sheetId="6" r:id="rId4"/>
    <sheet name="解答_不良品の事例" sheetId="8" r:id="rId5"/>
    <sheet name="不良品の事例" sheetId="9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8" l="1"/>
  <c r="D11" i="8" s="1"/>
  <c r="F8" i="6"/>
  <c r="F9" i="6" s="1"/>
  <c r="J8" i="5"/>
  <c r="I8" i="5"/>
  <c r="H8" i="5"/>
  <c r="G8" i="5"/>
  <c r="J7" i="5"/>
  <c r="I7" i="5"/>
  <c r="H7" i="5"/>
  <c r="F8" i="5"/>
  <c r="F9" i="5" s="1"/>
  <c r="D6" i="5"/>
  <c r="J12" i="2"/>
  <c r="I12" i="2"/>
  <c r="H12" i="2"/>
  <c r="J11" i="2"/>
  <c r="I11" i="2"/>
  <c r="H11" i="2"/>
  <c r="J10" i="2"/>
  <c r="I10" i="2"/>
  <c r="H10" i="2"/>
  <c r="G10" i="2"/>
  <c r="J9" i="2"/>
  <c r="I9" i="2"/>
  <c r="H9" i="2"/>
  <c r="G9" i="2" s="1"/>
  <c r="J8" i="2"/>
  <c r="I8" i="2"/>
  <c r="H8" i="2"/>
  <c r="J7" i="2"/>
  <c r="I7" i="2"/>
  <c r="H7" i="2"/>
  <c r="F10" i="5" l="1"/>
  <c r="J9" i="5"/>
  <c r="I9" i="5"/>
  <c r="H9" i="5"/>
  <c r="G9" i="5" s="1"/>
  <c r="G12" i="2"/>
  <c r="D12" i="5"/>
  <c r="D13" i="5"/>
  <c r="G11" i="2"/>
  <c r="D10" i="8"/>
  <c r="G8" i="2"/>
  <c r="F10" i="6"/>
  <c r="G7" i="5"/>
  <c r="G7" i="2"/>
  <c r="D9" i="5" l="1"/>
  <c r="F11" i="5"/>
  <c r="J10" i="5"/>
  <c r="H10" i="5"/>
  <c r="I10" i="5"/>
  <c r="F11" i="6"/>
  <c r="G10" i="5" l="1"/>
  <c r="F12" i="5"/>
  <c r="H11" i="5"/>
  <c r="I11" i="5"/>
  <c r="J11" i="5"/>
  <c r="F12" i="6"/>
  <c r="G11" i="5" l="1"/>
  <c r="F13" i="5"/>
  <c r="H12" i="5"/>
  <c r="I12" i="5"/>
  <c r="J12" i="5"/>
  <c r="F13" i="6"/>
  <c r="G12" i="5" l="1"/>
  <c r="F14" i="5"/>
  <c r="I13" i="5"/>
  <c r="J13" i="5"/>
  <c r="H13" i="5"/>
  <c r="G13" i="5" s="1"/>
  <c r="F14" i="6"/>
  <c r="F15" i="5" l="1"/>
  <c r="I14" i="5"/>
  <c r="H14" i="5"/>
  <c r="J14" i="5"/>
  <c r="F15" i="6"/>
  <c r="G14" i="5" l="1"/>
  <c r="F16" i="5"/>
  <c r="H15" i="5"/>
  <c r="I15" i="5"/>
  <c r="J15" i="5"/>
  <c r="F16" i="6"/>
  <c r="G15" i="5" l="1"/>
  <c r="F17" i="5"/>
  <c r="H16" i="5"/>
  <c r="I16" i="5"/>
  <c r="J16" i="5"/>
  <c r="F17" i="6"/>
  <c r="G16" i="5" l="1"/>
  <c r="F18" i="5"/>
  <c r="J17" i="5"/>
  <c r="H17" i="5"/>
  <c r="I17" i="5"/>
  <c r="F18" i="6"/>
  <c r="G17" i="5" l="1"/>
  <c r="F19" i="5"/>
  <c r="H18" i="5"/>
  <c r="J18" i="5"/>
  <c r="I18" i="5"/>
  <c r="F19" i="6"/>
  <c r="G18" i="5" l="1"/>
  <c r="F20" i="5"/>
  <c r="H19" i="5"/>
  <c r="J19" i="5"/>
  <c r="I19" i="5"/>
  <c r="F20" i="6"/>
  <c r="G19" i="5" l="1"/>
  <c r="F21" i="5"/>
  <c r="I20" i="5"/>
  <c r="H20" i="5"/>
  <c r="J20" i="5"/>
  <c r="F21" i="6"/>
  <c r="G20" i="5" l="1"/>
  <c r="F22" i="5"/>
  <c r="I21" i="5"/>
  <c r="J21" i="5"/>
  <c r="H21" i="5"/>
  <c r="G21" i="5" s="1"/>
  <c r="F22" i="6"/>
  <c r="F23" i="5" l="1"/>
  <c r="H22" i="5"/>
  <c r="J22" i="5"/>
  <c r="I22" i="5"/>
  <c r="F23" i="6"/>
  <c r="G22" i="5" l="1"/>
  <c r="F24" i="5"/>
  <c r="I23" i="5"/>
  <c r="J23" i="5"/>
  <c r="H23" i="5"/>
  <c r="G23" i="5" s="1"/>
  <c r="F24" i="6"/>
  <c r="F25" i="5" l="1"/>
  <c r="H24" i="5"/>
  <c r="I24" i="5"/>
  <c r="J24" i="5"/>
  <c r="F25" i="6"/>
  <c r="G24" i="5" l="1"/>
  <c r="H25" i="5"/>
  <c r="G25" i="5" s="1"/>
  <c r="F26" i="5"/>
  <c r="J25" i="5"/>
  <c r="I25" i="5"/>
  <c r="F26" i="6"/>
  <c r="F27" i="5" l="1"/>
  <c r="H26" i="5"/>
  <c r="G26" i="5" s="1"/>
  <c r="J26" i="5"/>
  <c r="I26" i="5"/>
  <c r="F27" i="6"/>
  <c r="F28" i="5" l="1"/>
  <c r="H27" i="5"/>
  <c r="I27" i="5"/>
  <c r="J27" i="5"/>
  <c r="F28" i="6"/>
  <c r="G27" i="5" l="1"/>
  <c r="F29" i="5"/>
  <c r="I28" i="5"/>
  <c r="H28" i="5"/>
  <c r="J28" i="5"/>
  <c r="F29" i="6"/>
  <c r="G28" i="5" l="1"/>
  <c r="J29" i="5"/>
  <c r="F30" i="5"/>
  <c r="H29" i="5"/>
  <c r="G29" i="5" s="1"/>
  <c r="I29" i="5"/>
  <c r="F30" i="6"/>
  <c r="F31" i="5" l="1"/>
  <c r="J30" i="5"/>
  <c r="H30" i="5"/>
  <c r="I30" i="5"/>
  <c r="F31" i="6"/>
  <c r="G30" i="5" l="1"/>
  <c r="F32" i="5"/>
  <c r="H31" i="5"/>
  <c r="I31" i="5"/>
  <c r="J31" i="5"/>
  <c r="F32" i="6"/>
  <c r="G31" i="5" l="1"/>
  <c r="F33" i="5"/>
  <c r="H32" i="5"/>
  <c r="I32" i="5"/>
  <c r="J32" i="5"/>
  <c r="F33" i="6"/>
  <c r="G32" i="5" l="1"/>
  <c r="F34" i="5"/>
  <c r="J33" i="5"/>
  <c r="I33" i="5"/>
  <c r="H33" i="5"/>
  <c r="G33" i="5" s="1"/>
  <c r="F34" i="6"/>
  <c r="F35" i="5" l="1"/>
  <c r="I34" i="5"/>
  <c r="J34" i="5"/>
  <c r="H34" i="5"/>
  <c r="G34" i="5" s="1"/>
  <c r="F35" i="6"/>
  <c r="F36" i="5" l="1"/>
  <c r="J35" i="5"/>
  <c r="I35" i="5"/>
  <c r="H35" i="5"/>
  <c r="G35" i="5" s="1"/>
  <c r="F36" i="6"/>
  <c r="F37" i="5" l="1"/>
  <c r="I36" i="5"/>
  <c r="H36" i="5"/>
  <c r="G36" i="5" s="1"/>
  <c r="J36" i="5"/>
  <c r="F37" i="6"/>
  <c r="F38" i="5" l="1"/>
  <c r="J37" i="5"/>
  <c r="I37" i="5"/>
  <c r="H37" i="5"/>
  <c r="G37" i="5" s="1"/>
  <c r="F38" i="6"/>
  <c r="F39" i="5" l="1"/>
  <c r="H38" i="5"/>
  <c r="J38" i="5"/>
  <c r="I38" i="5"/>
  <c r="F39" i="6"/>
  <c r="G38" i="5" l="1"/>
  <c r="F40" i="5"/>
  <c r="H39" i="5"/>
  <c r="J39" i="5"/>
  <c r="I39" i="5"/>
  <c r="F40" i="6"/>
  <c r="G39" i="5" l="1"/>
  <c r="F41" i="5"/>
  <c r="H40" i="5"/>
  <c r="I40" i="5"/>
  <c r="J40" i="5"/>
  <c r="F41" i="6"/>
  <c r="G40" i="5" l="1"/>
  <c r="F42" i="5"/>
  <c r="H41" i="5"/>
  <c r="I41" i="5"/>
  <c r="J41" i="5"/>
  <c r="F42" i="6"/>
  <c r="G41" i="5" l="1"/>
  <c r="F43" i="5"/>
  <c r="I42" i="5"/>
  <c r="H42" i="5"/>
  <c r="J42" i="5"/>
  <c r="F43" i="6"/>
  <c r="G42" i="5" l="1"/>
  <c r="F44" i="5"/>
  <c r="H43" i="5"/>
  <c r="J43" i="5"/>
  <c r="I43" i="5"/>
  <c r="F44" i="6"/>
  <c r="G43" i="5" l="1"/>
  <c r="F45" i="5"/>
  <c r="I44" i="5"/>
  <c r="H44" i="5"/>
  <c r="G44" i="5" s="1"/>
  <c r="J44" i="5"/>
  <c r="F45" i="6"/>
  <c r="F46" i="5" l="1"/>
  <c r="H45" i="5"/>
  <c r="J45" i="5"/>
  <c r="I45" i="5"/>
  <c r="F46" i="6"/>
  <c r="G45" i="5" l="1"/>
  <c r="F47" i="5"/>
  <c r="J46" i="5"/>
  <c r="H46" i="5"/>
  <c r="I46" i="5"/>
  <c r="F47" i="6"/>
  <c r="G46" i="5" l="1"/>
  <c r="F48" i="5"/>
  <c r="H47" i="5"/>
  <c r="I47" i="5"/>
  <c r="J47" i="5"/>
  <c r="F48" i="6"/>
  <c r="G47" i="5" l="1"/>
  <c r="F49" i="5"/>
  <c r="I48" i="5"/>
  <c r="H48" i="5"/>
  <c r="G48" i="5" s="1"/>
  <c r="J48" i="5"/>
  <c r="F49" i="6"/>
  <c r="F50" i="5" l="1"/>
  <c r="J49" i="5"/>
  <c r="H49" i="5"/>
  <c r="I49" i="5"/>
  <c r="F50" i="6"/>
  <c r="G49" i="5" l="1"/>
  <c r="F51" i="5"/>
  <c r="I50" i="5"/>
  <c r="H50" i="5"/>
  <c r="J50" i="5"/>
  <c r="F51" i="6"/>
  <c r="G50" i="5" l="1"/>
  <c r="F52" i="5"/>
  <c r="H51" i="5"/>
  <c r="I51" i="5"/>
  <c r="J51" i="5"/>
  <c r="F52" i="6"/>
  <c r="G51" i="5" l="1"/>
  <c r="F53" i="5"/>
  <c r="H52" i="5"/>
  <c r="I52" i="5"/>
  <c r="J52" i="5"/>
  <c r="F53" i="6"/>
  <c r="G52" i="5" l="1"/>
  <c r="F54" i="5"/>
  <c r="I53" i="5"/>
  <c r="J53" i="5"/>
  <c r="H53" i="5"/>
  <c r="G53" i="5" s="1"/>
  <c r="F54" i="6"/>
  <c r="F55" i="5" l="1"/>
  <c r="H54" i="5"/>
  <c r="I54" i="5"/>
  <c r="J54" i="5"/>
  <c r="F55" i="6"/>
  <c r="G54" i="5" l="1"/>
  <c r="F56" i="5"/>
  <c r="I55" i="5"/>
  <c r="H55" i="5"/>
  <c r="J55" i="5"/>
  <c r="F56" i="6"/>
  <c r="G55" i="5" l="1"/>
  <c r="F57" i="5"/>
  <c r="H56" i="5"/>
  <c r="I56" i="5"/>
  <c r="J56" i="5"/>
  <c r="F57" i="6"/>
  <c r="G56" i="5" l="1"/>
  <c r="F58" i="5"/>
  <c r="I57" i="5"/>
  <c r="H57" i="5"/>
  <c r="G57" i="5" s="1"/>
  <c r="J57" i="5"/>
  <c r="F58" i="6"/>
  <c r="F59" i="5" l="1"/>
  <c r="H58" i="5"/>
  <c r="I58" i="5"/>
  <c r="J58" i="5"/>
  <c r="F59" i="6"/>
  <c r="G58" i="5" l="1"/>
  <c r="F60" i="5"/>
  <c r="H59" i="5"/>
  <c r="J59" i="5"/>
  <c r="I59" i="5"/>
  <c r="F60" i="6"/>
  <c r="G59" i="5" l="1"/>
  <c r="F61" i="5"/>
  <c r="I60" i="5"/>
  <c r="H60" i="5"/>
  <c r="J60" i="5"/>
  <c r="F61" i="6"/>
  <c r="G60" i="5" l="1"/>
  <c r="F62" i="5"/>
  <c r="H61" i="5"/>
  <c r="I61" i="5"/>
  <c r="J61" i="5"/>
  <c r="F62" i="6"/>
  <c r="G61" i="5" l="1"/>
  <c r="F63" i="5"/>
  <c r="I62" i="5"/>
  <c r="H62" i="5"/>
  <c r="J62" i="5"/>
  <c r="F63" i="6"/>
  <c r="G62" i="5" l="1"/>
  <c r="F64" i="5"/>
  <c r="I63" i="5"/>
  <c r="J63" i="5"/>
  <c r="H63" i="5"/>
  <c r="G63" i="5" s="1"/>
  <c r="F64" i="6"/>
  <c r="F65" i="5" l="1"/>
  <c r="I64" i="5"/>
  <c r="H64" i="5"/>
  <c r="J64" i="5"/>
  <c r="F65" i="6"/>
  <c r="G64" i="5" l="1"/>
  <c r="F66" i="5"/>
  <c r="H65" i="5"/>
  <c r="J65" i="5"/>
  <c r="I65" i="5"/>
  <c r="F66" i="6"/>
  <c r="G65" i="5" l="1"/>
  <c r="F67" i="5"/>
  <c r="J66" i="5"/>
  <c r="H66" i="5"/>
  <c r="I66" i="5"/>
  <c r="F67" i="6"/>
  <c r="G66" i="5" l="1"/>
  <c r="F68" i="5"/>
  <c r="H67" i="5"/>
  <c r="I67" i="5"/>
  <c r="J67" i="5"/>
  <c r="F68" i="6"/>
  <c r="G67" i="5" l="1"/>
  <c r="F69" i="5"/>
  <c r="I68" i="5"/>
  <c r="H68" i="5"/>
  <c r="J68" i="5"/>
  <c r="F69" i="6"/>
  <c r="G68" i="5" l="1"/>
  <c r="F70" i="5"/>
  <c r="J69" i="5"/>
  <c r="H69" i="5"/>
  <c r="I69" i="5"/>
  <c r="F70" i="6"/>
  <c r="G69" i="5" l="1"/>
  <c r="F71" i="5"/>
  <c r="H70" i="5"/>
  <c r="I70" i="5"/>
  <c r="J70" i="5"/>
  <c r="F71" i="6"/>
  <c r="G70" i="5" l="1"/>
  <c r="F72" i="5"/>
  <c r="H71" i="5"/>
  <c r="J71" i="5"/>
  <c r="I71" i="5"/>
  <c r="F72" i="6"/>
  <c r="G71" i="5" l="1"/>
  <c r="F73" i="5"/>
  <c r="H72" i="5"/>
  <c r="J72" i="5"/>
  <c r="I72" i="5"/>
  <c r="F73" i="6"/>
  <c r="G72" i="5" l="1"/>
  <c r="F74" i="5"/>
  <c r="J73" i="5"/>
  <c r="H73" i="5"/>
  <c r="I73" i="5"/>
  <c r="F74" i="6"/>
  <c r="G73" i="5" l="1"/>
  <c r="F75" i="5"/>
  <c r="I74" i="5"/>
  <c r="J74" i="5"/>
  <c r="H74" i="5"/>
  <c r="G74" i="5" s="1"/>
  <c r="F75" i="6"/>
  <c r="F76" i="5" l="1"/>
  <c r="H75" i="5"/>
  <c r="I75" i="5"/>
  <c r="J75" i="5"/>
  <c r="F76" i="6"/>
  <c r="G75" i="5" l="1"/>
  <c r="F77" i="5"/>
  <c r="I76" i="5"/>
  <c r="H76" i="5"/>
  <c r="J76" i="5"/>
  <c r="F77" i="6"/>
  <c r="G76" i="5" l="1"/>
  <c r="F78" i="5"/>
  <c r="J77" i="5"/>
  <c r="I77" i="5"/>
  <c r="H77" i="5"/>
  <c r="G77" i="5" s="1"/>
  <c r="F78" i="6"/>
  <c r="F79" i="5" l="1"/>
  <c r="H78" i="5"/>
  <c r="J78" i="5"/>
  <c r="I78" i="5"/>
  <c r="F79" i="6"/>
  <c r="G78" i="5" l="1"/>
  <c r="F80" i="5"/>
  <c r="H79" i="5"/>
  <c r="J79" i="5"/>
  <c r="I79" i="5"/>
  <c r="F80" i="6"/>
  <c r="G79" i="5" l="1"/>
  <c r="F81" i="5"/>
  <c r="H80" i="5"/>
  <c r="I80" i="5"/>
  <c r="J80" i="5"/>
  <c r="F81" i="6"/>
  <c r="G80" i="5" l="1"/>
  <c r="F82" i="5"/>
  <c r="I81" i="5"/>
  <c r="J81" i="5"/>
  <c r="H81" i="5"/>
  <c r="G81" i="5" s="1"/>
  <c r="F82" i="6"/>
  <c r="F83" i="5" l="1"/>
  <c r="I82" i="5"/>
  <c r="J82" i="5"/>
  <c r="H82" i="5"/>
  <c r="G82" i="5" s="1"/>
  <c r="F83" i="6"/>
  <c r="F84" i="5" l="1"/>
  <c r="H83" i="5"/>
  <c r="I83" i="5"/>
  <c r="J83" i="5"/>
  <c r="F84" i="6"/>
  <c r="G83" i="5" l="1"/>
  <c r="F85" i="5"/>
  <c r="H84" i="5"/>
  <c r="I84" i="5"/>
  <c r="J84" i="5"/>
  <c r="F85" i="6"/>
  <c r="G84" i="5" l="1"/>
  <c r="F86" i="5"/>
  <c r="H85" i="5"/>
  <c r="I85" i="5"/>
  <c r="J85" i="5"/>
  <c r="F86" i="6"/>
  <c r="G85" i="5" l="1"/>
  <c r="F87" i="5"/>
  <c r="H86" i="5"/>
  <c r="J86" i="5"/>
  <c r="I86" i="5"/>
  <c r="F87" i="6"/>
  <c r="G86" i="5" l="1"/>
  <c r="F88" i="5"/>
  <c r="H87" i="5"/>
  <c r="I87" i="5"/>
  <c r="J87" i="5"/>
  <c r="F88" i="6"/>
  <c r="G87" i="5" l="1"/>
  <c r="F89" i="5"/>
  <c r="J88" i="5"/>
  <c r="H88" i="5"/>
  <c r="I88" i="5"/>
  <c r="F89" i="6"/>
  <c r="G88" i="5" l="1"/>
  <c r="F90" i="5"/>
  <c r="H89" i="5"/>
  <c r="J89" i="5"/>
  <c r="I89" i="5"/>
  <c r="F90" i="6"/>
  <c r="G89" i="5" l="1"/>
  <c r="F91" i="5"/>
  <c r="I90" i="5"/>
  <c r="H90" i="5"/>
  <c r="J90" i="5"/>
  <c r="F91" i="6"/>
  <c r="G90" i="5" l="1"/>
  <c r="F92" i="5"/>
  <c r="H91" i="5"/>
  <c r="I91" i="5"/>
  <c r="J91" i="5"/>
  <c r="F92" i="6"/>
  <c r="G91" i="5" l="1"/>
  <c r="F93" i="5"/>
  <c r="H92" i="5"/>
  <c r="I92" i="5"/>
  <c r="J92" i="5"/>
  <c r="F93" i="6"/>
  <c r="G92" i="5" l="1"/>
  <c r="F94" i="5"/>
  <c r="H93" i="5"/>
  <c r="I93" i="5"/>
  <c r="J93" i="5"/>
  <c r="F94" i="6"/>
  <c r="G93" i="5" l="1"/>
  <c r="F95" i="5"/>
  <c r="H94" i="5"/>
  <c r="J94" i="5"/>
  <c r="I94" i="5"/>
  <c r="F95" i="6"/>
  <c r="G94" i="5" l="1"/>
  <c r="F96" i="5"/>
  <c r="H95" i="5"/>
  <c r="I95" i="5"/>
  <c r="J95" i="5"/>
  <c r="F96" i="6"/>
  <c r="G95" i="5" l="1"/>
  <c r="F97" i="5"/>
  <c r="J96" i="5"/>
  <c r="H96" i="5"/>
  <c r="G96" i="5" s="1"/>
  <c r="I96" i="5"/>
  <c r="F97" i="6"/>
  <c r="F98" i="5" l="1"/>
  <c r="H97" i="5"/>
  <c r="I97" i="5"/>
  <c r="J97" i="5"/>
  <c r="F98" i="6"/>
  <c r="G97" i="5" l="1"/>
  <c r="F99" i="5"/>
  <c r="H98" i="5"/>
  <c r="I98" i="5"/>
  <c r="J98" i="5"/>
  <c r="F99" i="6"/>
  <c r="G98" i="5" l="1"/>
  <c r="F100" i="5"/>
  <c r="H99" i="5"/>
  <c r="J99" i="5"/>
  <c r="I99" i="5"/>
  <c r="F100" i="6"/>
  <c r="G99" i="5" l="1"/>
  <c r="F101" i="5"/>
  <c r="J100" i="5"/>
  <c r="H100" i="5"/>
  <c r="I100" i="5"/>
  <c r="F101" i="6"/>
  <c r="G100" i="5" l="1"/>
  <c r="F102" i="5"/>
  <c r="H101" i="5"/>
  <c r="I101" i="5"/>
  <c r="J101" i="5"/>
  <c r="F102" i="6"/>
  <c r="G101" i="5" l="1"/>
  <c r="F103" i="5"/>
  <c r="J102" i="5"/>
  <c r="H102" i="5"/>
  <c r="I102" i="5"/>
  <c r="F103" i="6"/>
  <c r="G102" i="5" l="1"/>
  <c r="F104" i="5"/>
  <c r="H103" i="5"/>
  <c r="I103" i="5"/>
  <c r="J103" i="5"/>
  <c r="F104" i="6"/>
  <c r="G103" i="5" l="1"/>
  <c r="I104" i="5"/>
  <c r="H104" i="5"/>
  <c r="F105" i="5"/>
  <c r="J104" i="5"/>
  <c r="F105" i="6"/>
  <c r="H105" i="5" l="1"/>
  <c r="F106" i="5"/>
  <c r="J105" i="5"/>
  <c r="I105" i="5"/>
  <c r="G104" i="5"/>
  <c r="F106" i="6"/>
  <c r="H106" i="5" l="1"/>
  <c r="J106" i="5"/>
  <c r="F107" i="5"/>
  <c r="I106" i="5"/>
  <c r="G105" i="5"/>
  <c r="F107" i="6"/>
  <c r="H107" i="5" l="1"/>
  <c r="I107" i="5"/>
  <c r="J107" i="5"/>
  <c r="G106" i="5"/>
  <c r="G107" i="5" l="1"/>
  <c r="D10" i="5" l="1"/>
  <c r="G4" i="5"/>
</calcChain>
</file>

<file path=xl/sharedStrings.xml><?xml version="1.0" encoding="utf-8"?>
<sst xmlns="http://schemas.openxmlformats.org/spreadsheetml/2006/main" count="108" uniqueCount="32">
  <si>
    <t>起こる確率π</t>
    <rPh sb="0" eb="1">
      <t>オ</t>
    </rPh>
    <rPh sb="3" eb="5">
      <t>カクリツ</t>
    </rPh>
    <phoneticPr fontId="1"/>
  </si>
  <si>
    <t>試行回数n</t>
    <rPh sb="0" eb="4">
      <t>シコウカイスウ</t>
    </rPh>
    <phoneticPr fontId="1"/>
  </si>
  <si>
    <t>変数名</t>
    <rPh sb="0" eb="3">
      <t>ヘンスウメイ</t>
    </rPh>
    <phoneticPr fontId="1"/>
  </si>
  <si>
    <t>1回の打席でヒットを「打つ」確率</t>
    <rPh sb="1" eb="2">
      <t>カイ</t>
    </rPh>
    <rPh sb="3" eb="5">
      <t>ダセキ</t>
    </rPh>
    <rPh sb="11" eb="12">
      <t>ウ</t>
    </rPh>
    <rPh sb="14" eb="16">
      <t>カクリツ</t>
    </rPh>
    <phoneticPr fontId="1"/>
  </si>
  <si>
    <t>説明</t>
    <rPh sb="0" eb="2">
      <t>セツメイ</t>
    </rPh>
    <phoneticPr fontId="1"/>
  </si>
  <si>
    <t>数値</t>
    <rPh sb="0" eb="2">
      <t>スウチ</t>
    </rPh>
    <phoneticPr fontId="1"/>
  </si>
  <si>
    <t>打席に立つ回数</t>
    <rPh sb="0" eb="2">
      <t>ダセキ</t>
    </rPh>
    <rPh sb="3" eb="4">
      <t>タ</t>
    </rPh>
    <rPh sb="5" eb="7">
      <t>カイスウ</t>
    </rPh>
    <phoneticPr fontId="1"/>
  </si>
  <si>
    <t>二項分布の確率質量関数</t>
    <rPh sb="0" eb="4">
      <t>ニコウブンプ</t>
    </rPh>
    <rPh sb="5" eb="7">
      <t>カクリツ</t>
    </rPh>
    <rPh sb="7" eb="9">
      <t>シツリョウ</t>
    </rPh>
    <rPh sb="9" eb="11">
      <t>カンスウ</t>
    </rPh>
    <phoneticPr fontId="1"/>
  </si>
  <si>
    <r>
      <rPr>
        <vertAlign val="subscript"/>
        <sz val="11"/>
        <color theme="1"/>
        <rFont val="Times New Roman"/>
        <family val="1"/>
      </rPr>
      <t>n</t>
    </r>
    <r>
      <rPr>
        <sz val="11"/>
        <color theme="1"/>
        <rFont val="Times New Roman"/>
        <family val="1"/>
      </rPr>
      <t>C</t>
    </r>
    <r>
      <rPr>
        <vertAlign val="subscript"/>
        <sz val="11"/>
        <color theme="1"/>
        <rFont val="Times New Roman"/>
        <family val="1"/>
      </rPr>
      <t>x</t>
    </r>
    <r>
      <rPr>
        <sz val="11"/>
        <color theme="1"/>
        <rFont val="Times New Roman"/>
        <family val="1"/>
      </rPr>
      <t xml:space="preserve"> π</t>
    </r>
    <r>
      <rPr>
        <vertAlign val="superscript"/>
        <sz val="11"/>
        <color theme="1"/>
        <rFont val="Times New Roman"/>
        <family val="1"/>
      </rPr>
      <t>x</t>
    </r>
    <r>
      <rPr>
        <sz val="11"/>
        <color theme="1"/>
        <rFont val="Times New Roman"/>
        <family val="1"/>
      </rPr>
      <t xml:space="preserve"> (1</t>
    </r>
    <r>
      <rPr>
        <sz val="11"/>
        <color theme="1"/>
        <rFont val="Yu Gothic"/>
        <family val="1"/>
        <charset val="128"/>
      </rPr>
      <t>-</t>
    </r>
    <r>
      <rPr>
        <sz val="11"/>
        <color theme="1"/>
        <rFont val="Times New Roman"/>
        <family val="1"/>
      </rPr>
      <t>π)</t>
    </r>
    <r>
      <rPr>
        <vertAlign val="superscript"/>
        <sz val="11"/>
        <color theme="1"/>
        <rFont val="Times New Roman"/>
        <family val="1"/>
      </rPr>
      <t>n-x</t>
    </r>
    <phoneticPr fontId="1"/>
  </si>
  <si>
    <r>
      <rPr>
        <vertAlign val="subscript"/>
        <sz val="11"/>
        <color theme="1"/>
        <rFont val="Times New Roman"/>
        <family val="1"/>
      </rPr>
      <t>n</t>
    </r>
    <r>
      <rPr>
        <sz val="11"/>
        <color theme="1"/>
        <rFont val="Times New Roman"/>
        <family val="1"/>
      </rPr>
      <t>C</t>
    </r>
    <r>
      <rPr>
        <vertAlign val="subscript"/>
        <sz val="11"/>
        <color theme="1"/>
        <rFont val="Times New Roman"/>
        <family val="1"/>
      </rPr>
      <t>x</t>
    </r>
    <phoneticPr fontId="1"/>
  </si>
  <si>
    <r>
      <t>π</t>
    </r>
    <r>
      <rPr>
        <vertAlign val="superscript"/>
        <sz val="11"/>
        <color theme="1"/>
        <rFont val="Times New Roman"/>
        <family val="1"/>
      </rPr>
      <t>x</t>
    </r>
    <phoneticPr fontId="1"/>
  </si>
  <si>
    <r>
      <t>(1</t>
    </r>
    <r>
      <rPr>
        <sz val="11"/>
        <color theme="1"/>
        <rFont val="Yu Gothic"/>
        <family val="1"/>
        <charset val="128"/>
      </rPr>
      <t>-</t>
    </r>
    <r>
      <rPr>
        <sz val="11"/>
        <color theme="1"/>
        <rFont val="Times New Roman"/>
        <family val="1"/>
      </rPr>
      <t>π)</t>
    </r>
    <r>
      <rPr>
        <vertAlign val="superscript"/>
        <sz val="11"/>
        <color theme="1"/>
        <rFont val="Times New Roman"/>
        <family val="1"/>
      </rPr>
      <t>n-x</t>
    </r>
    <phoneticPr fontId="1"/>
  </si>
  <si>
    <t>n回中x回起こる組み合わせ</t>
    <rPh sb="1" eb="3">
      <t>カイチュウ</t>
    </rPh>
    <rPh sb="4" eb="5">
      <t>カイ</t>
    </rPh>
    <rPh sb="5" eb="6">
      <t>オ</t>
    </rPh>
    <rPh sb="8" eb="9">
      <t>ク</t>
    </rPh>
    <rPh sb="10" eb="11">
      <t>ア</t>
    </rPh>
    <phoneticPr fontId="1"/>
  </si>
  <si>
    <t>起こる確率の，起こる回数乗</t>
    <rPh sb="0" eb="1">
      <t>オ</t>
    </rPh>
    <rPh sb="3" eb="5">
      <t>カクリツ</t>
    </rPh>
    <rPh sb="7" eb="8">
      <t>オ</t>
    </rPh>
    <rPh sb="10" eb="12">
      <t>カイスウ</t>
    </rPh>
    <rPh sb="12" eb="13">
      <t>ジョウ</t>
    </rPh>
    <phoneticPr fontId="1"/>
  </si>
  <si>
    <t>起こらない確率の，起こらない回数乗</t>
    <rPh sb="0" eb="1">
      <t>オ</t>
    </rPh>
    <rPh sb="5" eb="7">
      <t>カクリツ</t>
    </rPh>
    <rPh sb="9" eb="10">
      <t>オ</t>
    </rPh>
    <rPh sb="14" eb="16">
      <t>カイスウ</t>
    </rPh>
    <rPh sb="16" eb="17">
      <t>ジョウ</t>
    </rPh>
    <phoneticPr fontId="1"/>
  </si>
  <si>
    <t>ある野球選手の打率は3割2分（0.32）である．</t>
    <phoneticPr fontId="1"/>
  </si>
  <si>
    <t>この選手が5回打席に立つとき，ヒットが1度も打てない確率から，5回ともヒットを打つ確率まで，すべてのパターンの確率を求めよ．</t>
    <phoneticPr fontId="1"/>
  </si>
  <si>
    <t>確率変数</t>
    <rPh sb="0" eb="2">
      <t>カクリツ</t>
    </rPh>
    <rPh sb="2" eb="4">
      <t>ヘンスウ</t>
    </rPh>
    <phoneticPr fontId="1"/>
  </si>
  <si>
    <r>
      <t>X</t>
    </r>
    <r>
      <rPr>
        <vertAlign val="subscript"/>
        <sz val="11"/>
        <color theme="1"/>
        <rFont val="Times New Roman"/>
        <family val="1"/>
      </rPr>
      <t>i</t>
    </r>
    <phoneticPr fontId="1"/>
  </si>
  <si>
    <t>レア排出率0.05%のガチャを100回引いたときに，レアが1個以上当たる確率は？</t>
    <phoneticPr fontId="1"/>
  </si>
  <si>
    <t>ヒント①：「1個以上」なので2個でも3個でも良い／ヒント②：余事象</t>
    <phoneticPr fontId="1"/>
  </si>
  <si>
    <t>レアが当たる</t>
    <rPh sb="3" eb="4">
      <t>ア</t>
    </rPh>
    <phoneticPr fontId="1"/>
  </si>
  <si>
    <t>ガチャを引く回数</t>
    <rPh sb="4" eb="5">
      <t>ヒ</t>
    </rPh>
    <rPh sb="6" eb="8">
      <t>カイスウ</t>
    </rPh>
    <phoneticPr fontId="1"/>
  </si>
  <si>
    <t>余事象から求める</t>
    <rPh sb="0" eb="3">
      <t>ヨジショウ</t>
    </rPh>
    <rPh sb="5" eb="6">
      <t>モト</t>
    </rPh>
    <phoneticPr fontId="1"/>
  </si>
  <si>
    <t>合計値から確認</t>
    <rPh sb="0" eb="3">
      <t>ゴウケイチ</t>
    </rPh>
    <rPh sb="5" eb="7">
      <t>カクニン</t>
    </rPh>
    <phoneticPr fontId="1"/>
  </si>
  <si>
    <t>期待値</t>
    <rPh sb="0" eb="3">
      <t>キタイチ</t>
    </rPh>
    <phoneticPr fontId="1"/>
  </si>
  <si>
    <t>分散</t>
    <rPh sb="0" eb="2">
      <t>ブンサン</t>
    </rPh>
    <phoneticPr fontId="1"/>
  </si>
  <si>
    <t>ある工場で，不良品の製品は1,000個中2個あることがわかっている．</t>
    <phoneticPr fontId="1"/>
  </si>
  <si>
    <t>これから出荷する製品3,500個のうち，不良品の数をXとすると，その確率分布はポアソン分布で近似できるものとする．</t>
    <phoneticPr fontId="1"/>
  </si>
  <si>
    <t>これから出荷する製品3,500個のうち，予測される不良品の個数（期待値）はいくつか．</t>
    <phoneticPr fontId="1"/>
  </si>
  <si>
    <t>不良品である</t>
    <rPh sb="0" eb="3">
      <t>フリョウヒン</t>
    </rPh>
    <phoneticPr fontId="1"/>
  </si>
  <si>
    <t>出荷する製品の個数</t>
    <rPh sb="0" eb="2">
      <t>シュッカ</t>
    </rPh>
    <rPh sb="4" eb="6">
      <t>セイヒン</t>
    </rPh>
    <rPh sb="7" eb="9">
      <t>コスウ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</si>
</sst>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sz val="11"/>
      <color theme="1"/>
      <name val="Yu Gothic"/>
      <family val="1"/>
      <charset val="128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ck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dotted">
        <color auto="1"/>
      </right>
      <top style="thin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ck">
        <color auto="1"/>
      </bottom>
      <diagonal/>
    </border>
    <border>
      <left style="dotted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dotted">
        <color auto="1"/>
      </right>
      <top style="thick">
        <color auto="1"/>
      </top>
      <bottom style="double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double">
        <color auto="1"/>
      </bottom>
      <diagonal/>
    </border>
    <border>
      <left style="dotted">
        <color auto="1"/>
      </left>
      <right style="thick">
        <color auto="1"/>
      </right>
      <top style="thick">
        <color auto="1"/>
      </top>
      <bottom style="double">
        <color auto="1"/>
      </bottom>
      <diagonal/>
    </border>
    <border>
      <left style="thick">
        <color auto="1"/>
      </left>
      <right style="dotted">
        <color auto="1"/>
      </right>
      <top style="thick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thin">
        <color auto="1"/>
      </bottom>
      <diagonal/>
    </border>
    <border>
      <left style="dotted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dotted">
        <color auto="1"/>
      </right>
      <top style="thin">
        <color auto="1"/>
      </top>
      <bottom style="double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uble">
        <color auto="1"/>
      </bottom>
      <diagonal/>
    </border>
    <border>
      <left style="dotted">
        <color auto="1"/>
      </left>
      <right style="thick">
        <color auto="1"/>
      </right>
      <top style="thin">
        <color auto="1"/>
      </top>
      <bottom style="double">
        <color auto="1"/>
      </bottom>
      <diagonal/>
    </border>
    <border>
      <left style="thick">
        <color auto="1"/>
      </left>
      <right style="dotted">
        <color auto="1"/>
      </right>
      <top style="double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double">
        <color auto="1"/>
      </top>
      <bottom style="thin">
        <color auto="1"/>
      </bottom>
      <diagonal/>
    </border>
    <border>
      <left style="dotted">
        <color auto="1"/>
      </left>
      <right style="thick">
        <color auto="1"/>
      </right>
      <top style="double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 applyAlignment="1">
      <alignment vertical="center" shrinkToFit="1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 applyAlignment="1">
      <alignment vertical="center" shrinkToFi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6" fillId="0" borderId="9" xfId="0" applyFont="1" applyBorder="1">
      <alignment vertical="center"/>
    </xf>
    <xf numFmtId="0" fontId="6" fillId="0" borderId="3" xfId="0" applyFont="1" applyBorder="1">
      <alignment vertical="center"/>
    </xf>
    <xf numFmtId="0" fontId="6" fillId="0" borderId="6" xfId="0" applyFont="1" applyBorder="1">
      <alignment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 shrinkToFit="1"/>
    </xf>
    <xf numFmtId="0" fontId="2" fillId="0" borderId="15" xfId="0" applyFont="1" applyBorder="1" applyAlignment="1">
      <alignment horizontal="center" vertical="center" shrinkToFit="1"/>
    </xf>
    <xf numFmtId="0" fontId="0" fillId="0" borderId="16" xfId="0" applyBorder="1" applyAlignment="1">
      <alignment vertical="center" shrinkToFit="1"/>
    </xf>
    <xf numFmtId="0" fontId="0" fillId="0" borderId="17" xfId="0" applyBorder="1" applyAlignment="1">
      <alignment vertical="center" shrinkToFit="1"/>
    </xf>
    <xf numFmtId="0" fontId="0" fillId="0" borderId="18" xfId="0" applyBorder="1" applyAlignment="1">
      <alignment vertical="center" shrinkToFit="1"/>
    </xf>
    <xf numFmtId="0" fontId="0" fillId="0" borderId="19" xfId="0" applyBorder="1">
      <alignment vertical="center"/>
    </xf>
    <xf numFmtId="0" fontId="6" fillId="0" borderId="20" xfId="0" applyFont="1" applyBorder="1">
      <alignment vertical="center"/>
    </xf>
    <xf numFmtId="0" fontId="6" fillId="0" borderId="21" xfId="0" applyFont="1" applyBorder="1">
      <alignment vertical="center"/>
    </xf>
    <xf numFmtId="0" fontId="6" fillId="0" borderId="2" xfId="0" applyFont="1" applyBorder="1">
      <alignment vertical="center"/>
    </xf>
    <xf numFmtId="0" fontId="6" fillId="0" borderId="5" xfId="0" applyFont="1" applyBorder="1">
      <alignment vertical="center"/>
    </xf>
    <xf numFmtId="0" fontId="7" fillId="0" borderId="9" xfId="0" applyFont="1" applyBorder="1">
      <alignment vertical="center"/>
    </xf>
    <xf numFmtId="0" fontId="7" fillId="0" borderId="6" xfId="0" applyFont="1" applyBorder="1">
      <alignment vertical="center"/>
    </xf>
    <xf numFmtId="0" fontId="7" fillId="0" borderId="20" xfId="0" applyFont="1" applyBorder="1">
      <alignment vertical="center"/>
    </xf>
    <xf numFmtId="0" fontId="7" fillId="0" borderId="21" xfId="0" applyFont="1" applyBorder="1">
      <alignment vertical="center"/>
    </xf>
    <xf numFmtId="0" fontId="7" fillId="0" borderId="2" xfId="0" applyFont="1" applyBorder="1">
      <alignment vertical="center"/>
    </xf>
    <xf numFmtId="0" fontId="7" fillId="0" borderId="3" xfId="0" applyFont="1" applyBorder="1">
      <alignment vertical="center"/>
    </xf>
    <xf numFmtId="0" fontId="7" fillId="0" borderId="5" xfId="0" applyFont="1" applyBorder="1">
      <alignment vertical="center"/>
    </xf>
    <xf numFmtId="0" fontId="0" fillId="0" borderId="13" xfId="0" applyBorder="1">
      <alignment vertical="center"/>
    </xf>
    <xf numFmtId="0" fontId="0" fillId="0" borderId="15" xfId="0" applyBorder="1">
      <alignment vertical="center"/>
    </xf>
    <xf numFmtId="0" fontId="6" fillId="0" borderId="0" xfId="0" applyFont="1">
      <alignment vertical="center"/>
    </xf>
    <xf numFmtId="0" fontId="6" fillId="0" borderId="15" xfId="0" applyFont="1" applyBorder="1">
      <alignment vertical="center"/>
    </xf>
    <xf numFmtId="0" fontId="7" fillId="0" borderId="15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E4955-60A1-43AD-BE7B-98095880FB3F}">
  <dimension ref="B2:J13"/>
  <sheetViews>
    <sheetView showGridLines="0" workbookViewId="0"/>
  </sheetViews>
  <sheetFormatPr defaultRowHeight="18"/>
  <cols>
    <col min="2" max="2" width="12.33203125" bestFit="1" customWidth="1"/>
    <col min="3" max="3" width="21.58203125" customWidth="1"/>
    <col min="7" max="10" width="12.58203125" customWidth="1"/>
  </cols>
  <sheetData>
    <row r="2" spans="2:10">
      <c r="B2" t="s">
        <v>15</v>
      </c>
    </row>
    <row r="3" spans="2:10">
      <c r="B3" t="s">
        <v>16</v>
      </c>
    </row>
    <row r="4" spans="2:10" ht="18.5" thickBot="1"/>
    <row r="5" spans="2:10" ht="19" thickTop="1" thickBot="1">
      <c r="B5" s="7" t="s">
        <v>2</v>
      </c>
      <c r="C5" s="8" t="s">
        <v>4</v>
      </c>
      <c r="D5" s="9" t="s">
        <v>5</v>
      </c>
      <c r="F5" s="13" t="s">
        <v>18</v>
      </c>
      <c r="G5" s="14" t="s">
        <v>8</v>
      </c>
      <c r="H5" s="14" t="s">
        <v>9</v>
      </c>
      <c r="I5" s="14" t="s">
        <v>10</v>
      </c>
      <c r="J5" s="15" t="s">
        <v>11</v>
      </c>
    </row>
    <row r="6" spans="2:10" ht="19" thickTop="1" thickBot="1">
      <c r="B6" s="5" t="s">
        <v>0</v>
      </c>
      <c r="C6" s="6" t="s">
        <v>3</v>
      </c>
      <c r="D6" s="10">
        <v>0.32</v>
      </c>
      <c r="F6" s="16" t="s">
        <v>17</v>
      </c>
      <c r="G6" s="17" t="s">
        <v>7</v>
      </c>
      <c r="H6" s="17" t="s">
        <v>12</v>
      </c>
      <c r="I6" s="17" t="s">
        <v>13</v>
      </c>
      <c r="J6" s="18" t="s">
        <v>14</v>
      </c>
    </row>
    <row r="7" spans="2:10" ht="19" thickTop="1" thickBot="1">
      <c r="B7" s="2" t="s">
        <v>1</v>
      </c>
      <c r="C7" s="3" t="s">
        <v>6</v>
      </c>
      <c r="D7" s="12">
        <v>5</v>
      </c>
      <c r="F7" s="19">
        <v>0</v>
      </c>
      <c r="G7" s="20">
        <f t="shared" ref="G7:G12" si="0">H7*I7*J7</f>
        <v>0.14539335679999996</v>
      </c>
      <c r="H7" s="20">
        <f t="shared" ref="H7:H12" si="1">COMBIN($D$7,F7)</f>
        <v>1</v>
      </c>
      <c r="I7" s="20">
        <f t="shared" ref="I7:I12" si="2">$D$6^F7</f>
        <v>1</v>
      </c>
      <c r="J7" s="21">
        <f t="shared" ref="J7:J12" si="3">(1-$D$6)^($D$7-F7)</f>
        <v>0.14539335679999996</v>
      </c>
    </row>
    <row r="8" spans="2:10" ht="18.5" thickTop="1">
      <c r="F8" s="1">
        <v>1</v>
      </c>
      <c r="G8" s="22">
        <f t="shared" si="0"/>
        <v>0.3421020159999999</v>
      </c>
      <c r="H8" s="22">
        <f t="shared" si="1"/>
        <v>5</v>
      </c>
      <c r="I8" s="22">
        <f t="shared" si="2"/>
        <v>0.32</v>
      </c>
      <c r="J8" s="11">
        <f t="shared" si="3"/>
        <v>0.21381375999999994</v>
      </c>
    </row>
    <row r="9" spans="2:10">
      <c r="F9" s="1">
        <v>2</v>
      </c>
      <c r="G9" s="22">
        <f t="shared" si="0"/>
        <v>0.32197836799999996</v>
      </c>
      <c r="H9" s="22">
        <f t="shared" si="1"/>
        <v>10</v>
      </c>
      <c r="I9" s="22">
        <f t="shared" si="2"/>
        <v>0.1024</v>
      </c>
      <c r="J9" s="11">
        <f t="shared" si="3"/>
        <v>0.31443199999999993</v>
      </c>
    </row>
    <row r="10" spans="2:10">
      <c r="F10" s="1">
        <v>3</v>
      </c>
      <c r="G10" s="22">
        <f t="shared" si="0"/>
        <v>0.151519232</v>
      </c>
      <c r="H10" s="22">
        <f t="shared" si="1"/>
        <v>10</v>
      </c>
      <c r="I10" s="22">
        <f t="shared" si="2"/>
        <v>3.2768000000000005E-2</v>
      </c>
      <c r="J10" s="11">
        <f t="shared" si="3"/>
        <v>0.46239999999999992</v>
      </c>
    </row>
    <row r="11" spans="2:10">
      <c r="F11" s="1">
        <v>4</v>
      </c>
      <c r="G11" s="22">
        <f t="shared" si="0"/>
        <v>3.5651583999999993E-2</v>
      </c>
      <c r="H11" s="22">
        <f t="shared" si="1"/>
        <v>5</v>
      </c>
      <c r="I11" s="22">
        <f t="shared" si="2"/>
        <v>1.048576E-2</v>
      </c>
      <c r="J11" s="11">
        <f t="shared" si="3"/>
        <v>0.67999999999999994</v>
      </c>
    </row>
    <row r="12" spans="2:10" ht="18.5" thickBot="1">
      <c r="F12" s="2">
        <v>5</v>
      </c>
      <c r="G12" s="23">
        <f t="shared" si="0"/>
        <v>3.3554432000000001E-3</v>
      </c>
      <c r="H12" s="23">
        <f t="shared" si="1"/>
        <v>1</v>
      </c>
      <c r="I12" s="23">
        <f t="shared" si="2"/>
        <v>3.3554432000000001E-3</v>
      </c>
      <c r="J12" s="12">
        <f t="shared" si="3"/>
        <v>1</v>
      </c>
    </row>
    <row r="13" spans="2:10" ht="18.5" thickTop="1"/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D3A64-B2B4-42D4-BEAF-7CD18929A620}">
  <dimension ref="B2:J13"/>
  <sheetViews>
    <sheetView showGridLines="0" workbookViewId="0"/>
  </sheetViews>
  <sheetFormatPr defaultRowHeight="18"/>
  <cols>
    <col min="2" max="2" width="12.33203125" bestFit="1" customWidth="1"/>
    <col min="3" max="3" width="21.58203125" customWidth="1"/>
    <col min="7" max="10" width="12.58203125" customWidth="1"/>
  </cols>
  <sheetData>
    <row r="2" spans="2:10">
      <c r="B2" t="s">
        <v>15</v>
      </c>
    </row>
    <row r="3" spans="2:10">
      <c r="B3" t="s">
        <v>16</v>
      </c>
    </row>
    <row r="4" spans="2:10" ht="18.5" thickBot="1"/>
    <row r="5" spans="2:10" ht="19" thickTop="1" thickBot="1">
      <c r="B5" s="7" t="s">
        <v>2</v>
      </c>
      <c r="C5" s="8" t="s">
        <v>4</v>
      </c>
      <c r="D5" s="9" t="s">
        <v>5</v>
      </c>
      <c r="F5" s="13" t="s">
        <v>18</v>
      </c>
      <c r="G5" s="14" t="s">
        <v>8</v>
      </c>
      <c r="H5" s="14" t="s">
        <v>9</v>
      </c>
      <c r="I5" s="14" t="s">
        <v>10</v>
      </c>
      <c r="J5" s="15" t="s">
        <v>11</v>
      </c>
    </row>
    <row r="6" spans="2:10" ht="19" thickTop="1" thickBot="1">
      <c r="B6" s="5" t="s">
        <v>0</v>
      </c>
      <c r="C6" s="6" t="s">
        <v>3</v>
      </c>
      <c r="D6" s="24"/>
      <c r="F6" s="16" t="s">
        <v>17</v>
      </c>
      <c r="G6" s="17" t="s">
        <v>7</v>
      </c>
      <c r="H6" s="17" t="s">
        <v>12</v>
      </c>
      <c r="I6" s="17" t="s">
        <v>13</v>
      </c>
      <c r="J6" s="18" t="s">
        <v>14</v>
      </c>
    </row>
    <row r="7" spans="2:10" ht="19" thickTop="1" thickBot="1">
      <c r="B7" s="2" t="s">
        <v>1</v>
      </c>
      <c r="C7" s="3" t="s">
        <v>6</v>
      </c>
      <c r="D7" s="25"/>
      <c r="F7" s="19">
        <v>0</v>
      </c>
      <c r="G7" s="26"/>
      <c r="H7" s="26"/>
      <c r="I7" s="26"/>
      <c r="J7" s="27"/>
    </row>
    <row r="8" spans="2:10" ht="18.5" thickTop="1">
      <c r="F8" s="1">
        <v>1</v>
      </c>
      <c r="G8" s="28"/>
      <c r="H8" s="28"/>
      <c r="I8" s="28"/>
      <c r="J8" s="29"/>
    </row>
    <row r="9" spans="2:10">
      <c r="F9" s="1">
        <v>2</v>
      </c>
      <c r="G9" s="28"/>
      <c r="H9" s="28"/>
      <c r="I9" s="28"/>
      <c r="J9" s="29"/>
    </row>
    <row r="10" spans="2:10">
      <c r="F10" s="1">
        <v>3</v>
      </c>
      <c r="G10" s="28"/>
      <c r="H10" s="28"/>
      <c r="I10" s="28"/>
      <c r="J10" s="29"/>
    </row>
    <row r="11" spans="2:10">
      <c r="F11" s="1">
        <v>4</v>
      </c>
      <c r="G11" s="28"/>
      <c r="H11" s="28"/>
      <c r="I11" s="28"/>
      <c r="J11" s="29"/>
    </row>
    <row r="12" spans="2:10" ht="18.5" thickBot="1">
      <c r="F12" s="2">
        <v>5</v>
      </c>
      <c r="G12" s="30"/>
      <c r="H12" s="30"/>
      <c r="I12" s="30"/>
      <c r="J12" s="25"/>
    </row>
    <row r="13" spans="2:10" ht="18.5" thickTop="1"/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9D8F8-40E3-4F17-A0B7-8D64F5E0EE60}">
  <dimension ref="B2:J108"/>
  <sheetViews>
    <sheetView showGridLines="0" workbookViewId="0"/>
  </sheetViews>
  <sheetFormatPr defaultRowHeight="18"/>
  <cols>
    <col min="2" max="2" width="12.33203125" bestFit="1" customWidth="1"/>
    <col min="3" max="3" width="21.58203125" customWidth="1"/>
    <col min="7" max="10" width="12.58203125" customWidth="1"/>
  </cols>
  <sheetData>
    <row r="2" spans="2:10">
      <c r="B2" t="s">
        <v>19</v>
      </c>
    </row>
    <row r="3" spans="2:10">
      <c r="B3" t="s">
        <v>20</v>
      </c>
    </row>
    <row r="4" spans="2:10" ht="18.5" thickBot="1">
      <c r="G4" s="33">
        <f>SUM(G7:G107)</f>
        <v>1.0000000000000069</v>
      </c>
    </row>
    <row r="5" spans="2:10" ht="19" thickTop="1" thickBot="1">
      <c r="B5" s="7" t="s">
        <v>2</v>
      </c>
      <c r="C5" s="8" t="s">
        <v>4</v>
      </c>
      <c r="D5" s="9" t="s">
        <v>5</v>
      </c>
      <c r="F5" s="13" t="s">
        <v>18</v>
      </c>
      <c r="G5" s="14" t="s">
        <v>8</v>
      </c>
      <c r="H5" s="14" t="s">
        <v>9</v>
      </c>
      <c r="I5" s="14" t="s">
        <v>10</v>
      </c>
      <c r="J5" s="15" t="s">
        <v>11</v>
      </c>
    </row>
    <row r="6" spans="2:10" ht="19" thickTop="1" thickBot="1">
      <c r="B6" s="5" t="s">
        <v>0</v>
      </c>
      <c r="C6" s="6" t="s">
        <v>21</v>
      </c>
      <c r="D6" s="10">
        <f>0.05/100</f>
        <v>5.0000000000000001E-4</v>
      </c>
      <c r="F6" s="16" t="s">
        <v>17</v>
      </c>
      <c r="G6" s="17" t="s">
        <v>7</v>
      </c>
      <c r="H6" s="17" t="s">
        <v>12</v>
      </c>
      <c r="I6" s="17" t="s">
        <v>13</v>
      </c>
      <c r="J6" s="18" t="s">
        <v>14</v>
      </c>
    </row>
    <row r="7" spans="2:10" ht="19" thickTop="1" thickBot="1">
      <c r="B7" s="2" t="s">
        <v>1</v>
      </c>
      <c r="C7" s="3" t="s">
        <v>22</v>
      </c>
      <c r="D7" s="12">
        <v>100</v>
      </c>
      <c r="F7" s="19">
        <v>0</v>
      </c>
      <c r="G7" s="20">
        <f>H7*I7*J7</f>
        <v>0.95121753024233557</v>
      </c>
      <c r="H7" s="20">
        <f>COMBIN($D$7,F7)</f>
        <v>1</v>
      </c>
      <c r="I7" s="20">
        <f>$D$6^F7</f>
        <v>1</v>
      </c>
      <c r="J7" s="21">
        <f>(1-$D$6)^($D$7-F7)</f>
        <v>0.95121753024233557</v>
      </c>
    </row>
    <row r="8" spans="2:10" ht="19" thickTop="1" thickBot="1">
      <c r="F8" s="1">
        <f>F7+1</f>
        <v>1</v>
      </c>
      <c r="G8" s="22">
        <f>H8*I8*J8</f>
        <v>4.758466884654005E-2</v>
      </c>
      <c r="H8" s="22">
        <f>COMBIN($D$7,F8)</f>
        <v>100</v>
      </c>
      <c r="I8" s="22">
        <f>$D$6^F8</f>
        <v>5.0000000000000001E-4</v>
      </c>
      <c r="J8" s="11">
        <f>(1-$D$6)^($D$7-F8)</f>
        <v>0.95169337693080092</v>
      </c>
    </row>
    <row r="9" spans="2:10" ht="18.5" thickTop="1">
      <c r="C9" s="31" t="s">
        <v>23</v>
      </c>
      <c r="D9" s="34">
        <f>1-G7</f>
        <v>4.8782469757664426E-2</v>
      </c>
      <c r="F9" s="1">
        <f t="shared" ref="F9:F72" si="0">F8+1</f>
        <v>2</v>
      </c>
      <c r="G9" s="22">
        <f t="shared" ref="G9:G72" si="1">H9*I9*J9</f>
        <v>1.1783097088062691E-3</v>
      </c>
      <c r="H9" s="22">
        <f t="shared" ref="H9:H72" si="2">COMBIN($D$7,F9)</f>
        <v>4950</v>
      </c>
      <c r="I9" s="22">
        <f t="shared" ref="I9:I72" si="3">$D$6^F9</f>
        <v>2.4999999999999999E-7</v>
      </c>
      <c r="J9" s="11">
        <f t="shared" ref="J9:J72" si="4">(1-$D$6)^($D$7-F9)</f>
        <v>0.95216946166163163</v>
      </c>
    </row>
    <row r="10" spans="2:10" ht="18.5" thickBot="1">
      <c r="C10" s="2" t="s">
        <v>24</v>
      </c>
      <c r="D10" s="12">
        <f>SUM(G8:G107)</f>
        <v>4.8782469757671351E-2</v>
      </c>
      <c r="F10" s="1">
        <f t="shared" si="0"/>
        <v>3</v>
      </c>
      <c r="G10" s="22">
        <f t="shared" si="1"/>
        <v>1.9255352920295873E-5</v>
      </c>
      <c r="H10" s="22">
        <f t="shared" si="2"/>
        <v>161700</v>
      </c>
      <c r="I10" s="22">
        <f t="shared" si="3"/>
        <v>1.2500000000000001E-10</v>
      </c>
      <c r="J10" s="11">
        <f t="shared" si="4"/>
        <v>0.95264578455390847</v>
      </c>
    </row>
    <row r="11" spans="2:10" ht="19" thickTop="1" thickBot="1">
      <c r="F11" s="1">
        <f t="shared" si="0"/>
        <v>4</v>
      </c>
      <c r="G11" s="22">
        <f t="shared" si="1"/>
        <v>2.3358794813265381E-7</v>
      </c>
      <c r="H11" s="22">
        <f t="shared" si="2"/>
        <v>3921225</v>
      </c>
      <c r="I11" s="22">
        <f t="shared" si="3"/>
        <v>6.2499999999999999E-14</v>
      </c>
      <c r="J11" s="11">
        <f t="shared" si="4"/>
        <v>0.9531223457267719</v>
      </c>
    </row>
    <row r="12" spans="2:10" ht="18.5" thickTop="1">
      <c r="C12" s="31" t="s">
        <v>25</v>
      </c>
      <c r="D12" s="34">
        <f>D7*D6</f>
        <v>0.05</v>
      </c>
      <c r="F12" s="1">
        <f t="shared" si="0"/>
        <v>5</v>
      </c>
      <c r="G12" s="22">
        <f t="shared" si="1"/>
        <v>2.2435660851160346E-9</v>
      </c>
      <c r="H12" s="22">
        <f t="shared" si="2"/>
        <v>75287520</v>
      </c>
      <c r="I12" s="22">
        <f t="shared" si="3"/>
        <v>3.1250000000000002E-17</v>
      </c>
      <c r="J12" s="11">
        <f t="shared" si="4"/>
        <v>0.95359914529942136</v>
      </c>
    </row>
    <row r="13" spans="2:10" ht="18.5" thickBot="1">
      <c r="C13" s="2" t="s">
        <v>26</v>
      </c>
      <c r="D13" s="12">
        <f>D7*D6*(1-D6)</f>
        <v>4.9975000000000006E-2</v>
      </c>
      <c r="F13" s="1">
        <f t="shared" si="0"/>
        <v>6</v>
      </c>
      <c r="G13" s="22">
        <f t="shared" si="1"/>
        <v>1.7770450065534701E-11</v>
      </c>
      <c r="H13" s="22">
        <f t="shared" si="2"/>
        <v>1192052400</v>
      </c>
      <c r="I13" s="22">
        <f t="shared" si="3"/>
        <v>1.5624999999999998E-20</v>
      </c>
      <c r="J13" s="11">
        <f t="shared" si="4"/>
        <v>0.95407618339111699</v>
      </c>
    </row>
    <row r="14" spans="2:10" ht="18.5" thickTop="1">
      <c r="F14" s="1">
        <f t="shared" si="0"/>
        <v>7</v>
      </c>
      <c r="G14" s="22">
        <f t="shared" si="1"/>
        <v>1.1937556679484473E-13</v>
      </c>
      <c r="H14" s="22">
        <f t="shared" si="2"/>
        <v>16007560799.999996</v>
      </c>
      <c r="I14" s="22">
        <f t="shared" si="3"/>
        <v>7.8125000000000007E-24</v>
      </c>
      <c r="J14" s="11">
        <f t="shared" si="4"/>
        <v>0.95455346012117759</v>
      </c>
    </row>
    <row r="15" spans="2:10">
      <c r="F15" s="1">
        <f t="shared" si="0"/>
        <v>8</v>
      </c>
      <c r="G15" s="22">
        <f t="shared" si="1"/>
        <v>6.9421759079043015E-16</v>
      </c>
      <c r="H15" s="22">
        <f t="shared" si="2"/>
        <v>186087894300</v>
      </c>
      <c r="I15" s="22">
        <f t="shared" si="3"/>
        <v>3.9062499999999997E-27</v>
      </c>
      <c r="J15" s="11">
        <f t="shared" si="4"/>
        <v>0.95503097560898198</v>
      </c>
    </row>
    <row r="16" spans="2:10">
      <c r="F16" s="1">
        <f t="shared" si="0"/>
        <v>9</v>
      </c>
      <c r="G16" s="22">
        <f t="shared" si="1"/>
        <v>3.5499982409382216E-18</v>
      </c>
      <c r="H16" s="22">
        <f t="shared" si="2"/>
        <v>1902231808400</v>
      </c>
      <c r="I16" s="22">
        <f t="shared" si="3"/>
        <v>1.9531249999999997E-30</v>
      </c>
      <c r="J16" s="11">
        <f t="shared" si="4"/>
        <v>0.95550872997396874</v>
      </c>
    </row>
    <row r="17" spans="6:10">
      <c r="F17" s="1">
        <f t="shared" si="0"/>
        <v>10</v>
      </c>
      <c r="G17" s="22">
        <f t="shared" si="1"/>
        <v>1.6160572282410121E-20</v>
      </c>
      <c r="H17" s="22">
        <f t="shared" si="2"/>
        <v>17310309456440.006</v>
      </c>
      <c r="I17" s="22">
        <f t="shared" si="3"/>
        <v>9.7656249999999991E-34</v>
      </c>
      <c r="J17" s="11">
        <f t="shared" si="4"/>
        <v>0.95598672333563661</v>
      </c>
    </row>
    <row r="18" spans="6:10">
      <c r="F18" s="1">
        <f t="shared" si="0"/>
        <v>11</v>
      </c>
      <c r="G18" s="22">
        <f t="shared" si="1"/>
        <v>6.6144504316563327E-23</v>
      </c>
      <c r="H18" s="22">
        <f t="shared" si="2"/>
        <v>141629804643600.03</v>
      </c>
      <c r="I18" s="22">
        <f t="shared" si="3"/>
        <v>4.8828125000000003E-37</v>
      </c>
      <c r="J18" s="11">
        <f t="shared" si="4"/>
        <v>0.95646495581354329</v>
      </c>
    </row>
    <row r="19" spans="6:10">
      <c r="F19" s="1">
        <f t="shared" si="0"/>
        <v>12</v>
      </c>
      <c r="G19" s="22">
        <f t="shared" si="1"/>
        <v>2.4540857446115278E-25</v>
      </c>
      <c r="H19" s="22">
        <f t="shared" si="2"/>
        <v>1050421051106700</v>
      </c>
      <c r="I19" s="22">
        <f t="shared" si="3"/>
        <v>2.4414062499999999E-40</v>
      </c>
      <c r="J19" s="11">
        <f t="shared" si="4"/>
        <v>0.95694342752730688</v>
      </c>
    </row>
    <row r="20" spans="6:10">
      <c r="F20" s="1">
        <f t="shared" si="0"/>
        <v>13</v>
      </c>
      <c r="G20" s="22">
        <f t="shared" si="1"/>
        <v>8.3102915121335421E-28</v>
      </c>
      <c r="H20" s="22">
        <f t="shared" si="2"/>
        <v>7110542499799198</v>
      </c>
      <c r="I20" s="22">
        <f t="shared" si="3"/>
        <v>1.2207031249999999E-43</v>
      </c>
      <c r="J20" s="11">
        <f t="shared" si="4"/>
        <v>0.95742213859660508</v>
      </c>
    </row>
    <row r="21" spans="6:10">
      <c r="F21" s="1">
        <f t="shared" si="0"/>
        <v>14</v>
      </c>
      <c r="G21" s="22">
        <f t="shared" si="1"/>
        <v>2.5834180002702005E-30</v>
      </c>
      <c r="H21" s="22">
        <f t="shared" si="2"/>
        <v>4.41869426773236E+16</v>
      </c>
      <c r="I21" s="22">
        <f t="shared" si="3"/>
        <v>6.1035156249999993E-47</v>
      </c>
      <c r="J21" s="11">
        <f t="shared" si="4"/>
        <v>0.95790108914117567</v>
      </c>
    </row>
    <row r="22" spans="6:10">
      <c r="F22" s="1">
        <f t="shared" si="0"/>
        <v>15</v>
      </c>
      <c r="G22" s="22">
        <f t="shared" si="1"/>
        <v>7.4095030189507176E-33</v>
      </c>
      <c r="H22" s="22">
        <f t="shared" si="2"/>
        <v>2.5333847134998864E+17</v>
      </c>
      <c r="I22" s="22">
        <f t="shared" si="3"/>
        <v>3.0517578125E-50</v>
      </c>
      <c r="J22" s="11">
        <f t="shared" si="4"/>
        <v>0.95838027928081604</v>
      </c>
    </row>
    <row r="23" spans="6:10">
      <c r="F23" s="1">
        <f t="shared" si="0"/>
        <v>16</v>
      </c>
      <c r="G23" s="22">
        <f t="shared" si="1"/>
        <v>1.969133806311941E-35</v>
      </c>
      <c r="H23" s="22">
        <f t="shared" si="2"/>
        <v>1.3458606290468155E+18</v>
      </c>
      <c r="I23" s="22">
        <f t="shared" si="3"/>
        <v>1.5258789062499997E-53</v>
      </c>
      <c r="J23" s="11">
        <f t="shared" si="4"/>
        <v>0.95885970913538365</v>
      </c>
    </row>
    <row r="24" spans="6:10">
      <c r="F24" s="1">
        <f t="shared" si="0"/>
        <v>17</v>
      </c>
      <c r="G24" s="22">
        <f t="shared" si="1"/>
        <v>4.8673524918401228E-38</v>
      </c>
      <c r="H24" s="22">
        <f t="shared" si="2"/>
        <v>6.6501348729371996E+18</v>
      </c>
      <c r="I24" s="22">
        <f t="shared" si="3"/>
        <v>7.6293945312499989E-57</v>
      </c>
      <c r="J24" s="11">
        <f t="shared" si="4"/>
        <v>0.95933937882479592</v>
      </c>
    </row>
    <row r="25" spans="6:10">
      <c r="F25" s="1">
        <f t="shared" si="0"/>
        <v>18</v>
      </c>
      <c r="G25" s="22">
        <f t="shared" si="1"/>
        <v>1.1227565361089716E-40</v>
      </c>
      <c r="H25" s="22">
        <f t="shared" si="2"/>
        <v>3.0664510802988204E+19</v>
      </c>
      <c r="I25" s="22">
        <f t="shared" si="3"/>
        <v>3.814697265624999E-60</v>
      </c>
      <c r="J25" s="11">
        <f t="shared" si="4"/>
        <v>0.95981928846903042</v>
      </c>
    </row>
    <row r="26" spans="6:10">
      <c r="F26" s="1">
        <f>F25+1</f>
        <v>19</v>
      </c>
      <c r="G26" s="22">
        <f t="shared" si="1"/>
        <v>2.4240024212352414E-43</v>
      </c>
      <c r="H26" s="22">
        <f t="shared" si="2"/>
        <v>1.3234157293921229E+20</v>
      </c>
      <c r="I26" s="22">
        <f t="shared" si="3"/>
        <v>1.9073486328124999E-63</v>
      </c>
      <c r="J26" s="11">
        <f t="shared" si="4"/>
        <v>0.96029943818812435</v>
      </c>
    </row>
    <row r="27" spans="6:10">
      <c r="F27" s="1">
        <f t="shared" si="0"/>
        <v>20</v>
      </c>
      <c r="G27" s="22">
        <f t="shared" si="1"/>
        <v>4.9110604332179728E-46</v>
      </c>
      <c r="H27" s="22">
        <f t="shared" si="2"/>
        <v>5.3598337040380979E+20</v>
      </c>
      <c r="I27" s="22">
        <f t="shared" si="3"/>
        <v>9.5367431640624984E-67</v>
      </c>
      <c r="J27" s="11">
        <f t="shared" si="4"/>
        <v>0.96077982810217544</v>
      </c>
    </row>
    <row r="28" spans="6:10">
      <c r="F28" s="1">
        <f t="shared" si="0"/>
        <v>21</v>
      </c>
      <c r="G28" s="22">
        <f t="shared" si="1"/>
        <v>9.3590803653597702E-49</v>
      </c>
      <c r="H28" s="22">
        <f t="shared" si="2"/>
        <v>2.0418414110621326E+21</v>
      </c>
      <c r="I28" s="22">
        <f t="shared" si="3"/>
        <v>4.7683715820312497E-70</v>
      </c>
      <c r="J28" s="11">
        <f t="shared" si="4"/>
        <v>0.96126045833134088</v>
      </c>
    </row>
    <row r="29" spans="6:10">
      <c r="F29" s="1">
        <f t="shared" si="0"/>
        <v>22</v>
      </c>
      <c r="G29" s="22">
        <f t="shared" si="1"/>
        <v>1.6812209488003589E-51</v>
      </c>
      <c r="H29" s="22">
        <f t="shared" si="2"/>
        <v>7.3320668851776583E+21</v>
      </c>
      <c r="I29" s="22">
        <f t="shared" si="3"/>
        <v>2.3841857910156243E-73</v>
      </c>
      <c r="J29" s="11">
        <f t="shared" si="4"/>
        <v>0.96174132899583886</v>
      </c>
    </row>
    <row r="30" spans="6:10">
      <c r="F30" s="1">
        <f t="shared" si="0"/>
        <v>23</v>
      </c>
      <c r="G30" s="22">
        <f t="shared" si="1"/>
        <v>2.8521920526878199E-54</v>
      </c>
      <c r="H30" s="22">
        <f t="shared" si="2"/>
        <v>2.4865270306254648E+22</v>
      </c>
      <c r="I30" s="22">
        <f t="shared" si="3"/>
        <v>1.1920928955078125E-76</v>
      </c>
      <c r="J30" s="11">
        <f t="shared" si="4"/>
        <v>0.96222244021594683</v>
      </c>
    </row>
    <row r="31" spans="6:10">
      <c r="F31" s="1">
        <f t="shared" si="0"/>
        <v>24</v>
      </c>
      <c r="G31" s="22">
        <f t="shared" si="1"/>
        <v>4.5776802579823708E-57</v>
      </c>
      <c r="H31" s="22">
        <f t="shared" si="2"/>
        <v>7.9776075565900384E+22</v>
      </c>
      <c r="I31" s="22">
        <f t="shared" si="3"/>
        <v>5.9604644775390608E-80</v>
      </c>
      <c r="J31" s="11">
        <f t="shared" si="4"/>
        <v>0.96270379211200274</v>
      </c>
    </row>
    <row r="32" spans="6:10">
      <c r="F32" s="1">
        <f t="shared" si="0"/>
        <v>25</v>
      </c>
      <c r="G32" s="22">
        <f t="shared" si="1"/>
        <v>6.9615547695179578E-60</v>
      </c>
      <c r="H32" s="22">
        <f t="shared" si="2"/>
        <v>2.4251926972033706E+23</v>
      </c>
      <c r="I32" s="22">
        <f t="shared" si="3"/>
        <v>2.9802322387695304E-83</v>
      </c>
      <c r="J32" s="11">
        <f t="shared" si="4"/>
        <v>0.96318538480440474</v>
      </c>
    </row>
    <row r="33" spans="6:10">
      <c r="F33" s="1">
        <f t="shared" si="0"/>
        <v>26</v>
      </c>
      <c r="G33" s="22">
        <f t="shared" si="1"/>
        <v>1.0045726857926022E-62</v>
      </c>
      <c r="H33" s="22">
        <f t="shared" si="2"/>
        <v>6.9957481650097247E+23</v>
      </c>
      <c r="I33" s="22">
        <f t="shared" si="3"/>
        <v>1.4901161193847653E-86</v>
      </c>
      <c r="J33" s="11">
        <f t="shared" si="4"/>
        <v>0.96366721841361158</v>
      </c>
    </row>
    <row r="34" spans="6:10">
      <c r="F34" s="1">
        <f t="shared" si="0"/>
        <v>27</v>
      </c>
      <c r="G34" s="22">
        <f t="shared" si="1"/>
        <v>1.3773253061466389E-65</v>
      </c>
      <c r="H34" s="22">
        <f t="shared" si="2"/>
        <v>1.9173532007804425E+24</v>
      </c>
      <c r="I34" s="22">
        <f t="shared" si="3"/>
        <v>7.450580596923827E-90</v>
      </c>
      <c r="J34" s="11">
        <f t="shared" si="4"/>
        <v>0.96414929306014163</v>
      </c>
    </row>
    <row r="35" spans="6:10">
      <c r="F35" s="1">
        <f t="shared" si="0"/>
        <v>28</v>
      </c>
      <c r="G35" s="22">
        <f t="shared" si="1"/>
        <v>1.7963400869846472E-68</v>
      </c>
      <c r="H35" s="22">
        <f t="shared" si="2"/>
        <v>4.9988137020347276E+24</v>
      </c>
      <c r="I35" s="22">
        <f t="shared" si="3"/>
        <v>3.7252902984619133E-93</v>
      </c>
      <c r="J35" s="11">
        <f t="shared" si="4"/>
        <v>0.96463160886457378</v>
      </c>
    </row>
    <row r="36" spans="6:10">
      <c r="F36" s="1">
        <f t="shared" si="0"/>
        <v>29</v>
      </c>
      <c r="G36" s="22">
        <f t="shared" si="1"/>
        <v>2.2310549457986678E-71</v>
      </c>
      <c r="H36" s="22">
        <f t="shared" si="2"/>
        <v>1.241084781194829E+25</v>
      </c>
      <c r="I36" s="22">
        <f t="shared" si="3"/>
        <v>1.8626451492309566E-96</v>
      </c>
      <c r="J36" s="11">
        <f t="shared" si="4"/>
        <v>0.9651141659475474</v>
      </c>
    </row>
    <row r="37" spans="6:10">
      <c r="F37" s="1">
        <f t="shared" si="0"/>
        <v>30</v>
      </c>
      <c r="G37" s="22">
        <f t="shared" si="1"/>
        <v>2.6414023870552843E-74</v>
      </c>
      <c r="H37" s="22">
        <f t="shared" si="2"/>
        <v>2.9372339821610943E+25</v>
      </c>
      <c r="I37" s="22">
        <f t="shared" si="3"/>
        <v>9.3132257461547831E-100</v>
      </c>
      <c r="J37" s="11">
        <f t="shared" si="4"/>
        <v>0.96559696442976239</v>
      </c>
    </row>
    <row r="38" spans="6:10">
      <c r="F38" s="1">
        <f t="shared" si="0"/>
        <v>31</v>
      </c>
      <c r="G38" s="22">
        <f t="shared" si="1"/>
        <v>2.9837203616948757E-77</v>
      </c>
      <c r="H38" s="22">
        <f t="shared" si="2"/>
        <v>6.6324638306863368E+25</v>
      </c>
      <c r="I38" s="22">
        <f t="shared" si="3"/>
        <v>4.6566128730773921E-103</v>
      </c>
      <c r="J38" s="11">
        <f t="shared" si="4"/>
        <v>0.96608000443197828</v>
      </c>
    </row>
    <row r="39" spans="6:10">
      <c r="F39" s="1">
        <f t="shared" si="0"/>
        <v>32</v>
      </c>
      <c r="G39" s="22">
        <f t="shared" si="1"/>
        <v>3.2184327313179483E-80</v>
      </c>
      <c r="H39" s="22">
        <f t="shared" si="2"/>
        <v>1.4301250134917424E+26</v>
      </c>
      <c r="I39" s="22">
        <f t="shared" si="3"/>
        <v>2.3283064365386956E-106</v>
      </c>
      <c r="J39" s="11">
        <f t="shared" si="4"/>
        <v>0.96656328607501574</v>
      </c>
    </row>
    <row r="40" spans="6:10">
      <c r="F40" s="1">
        <f t="shared" si="0"/>
        <v>33</v>
      </c>
      <c r="G40" s="22">
        <f t="shared" si="1"/>
        <v>3.3176198058062469E-83</v>
      </c>
      <c r="H40" s="22">
        <f t="shared" si="2"/>
        <v>2.9469242702254117E+26</v>
      </c>
      <c r="I40" s="22">
        <f t="shared" si="3"/>
        <v>1.1641532182693479E-109</v>
      </c>
      <c r="J40" s="11">
        <f t="shared" si="4"/>
        <v>0.96704680947975541</v>
      </c>
    </row>
    <row r="41" spans="6:10">
      <c r="F41" s="1">
        <f t="shared" si="0"/>
        <v>34</v>
      </c>
      <c r="G41" s="22">
        <f t="shared" si="1"/>
        <v>3.2704665125065226E-86</v>
      </c>
      <c r="H41" s="22">
        <f t="shared" si="2"/>
        <v>5.8071742972088937E+26</v>
      </c>
      <c r="I41" s="22">
        <f t="shared" si="3"/>
        <v>5.8207660913467392E-113</v>
      </c>
      <c r="J41" s="11">
        <f t="shared" si="4"/>
        <v>0.967530574767139</v>
      </c>
    </row>
    <row r="42" spans="6:10">
      <c r="F42" s="1">
        <f t="shared" si="0"/>
        <v>35</v>
      </c>
      <c r="G42" s="22">
        <f t="shared" si="1"/>
        <v>3.085125274429077E-89</v>
      </c>
      <c r="H42" s="22">
        <f t="shared" si="2"/>
        <v>1.0950671531879623E+27</v>
      </c>
      <c r="I42" s="22">
        <f t="shared" si="3"/>
        <v>2.9103830456733697E-116</v>
      </c>
      <c r="J42" s="11">
        <f t="shared" si="4"/>
        <v>0.96801458205816804</v>
      </c>
    </row>
    <row r="43" spans="6:10">
      <c r="F43" s="1">
        <f t="shared" si="0"/>
        <v>36</v>
      </c>
      <c r="G43" s="22">
        <f t="shared" si="1"/>
        <v>2.7865758273288052E-92</v>
      </c>
      <c r="H43" s="22">
        <f t="shared" si="2"/>
        <v>1.9772045821449335E+27</v>
      </c>
      <c r="I43" s="22">
        <f t="shared" si="3"/>
        <v>1.4551915228366847E-119</v>
      </c>
      <c r="J43" s="11">
        <f t="shared" si="4"/>
        <v>0.96849883147390492</v>
      </c>
    </row>
    <row r="44" spans="6:10">
      <c r="F44" s="1">
        <f t="shared" si="0"/>
        <v>37</v>
      </c>
      <c r="G44" s="22">
        <f t="shared" si="1"/>
        <v>2.4112171349058809E-95</v>
      </c>
      <c r="H44" s="22">
        <f t="shared" si="2"/>
        <v>3.4200295474939415E+27</v>
      </c>
      <c r="I44" s="22">
        <f t="shared" si="3"/>
        <v>7.2759576141834239E-123</v>
      </c>
      <c r="J44" s="11">
        <f t="shared" si="4"/>
        <v>0.96898332313547253</v>
      </c>
    </row>
    <row r="45" spans="6:10">
      <c r="F45" s="1">
        <f t="shared" si="0"/>
        <v>38</v>
      </c>
      <c r="G45" s="22">
        <f t="shared" si="1"/>
        <v>1.9997719846643085E-98</v>
      </c>
      <c r="H45" s="22">
        <f t="shared" si="2"/>
        <v>5.670048986634683E+27</v>
      </c>
      <c r="I45" s="22">
        <f t="shared" si="3"/>
        <v>3.6379788070917112E-126</v>
      </c>
      <c r="J45" s="11">
        <f t="shared" si="4"/>
        <v>0.9694680571640546</v>
      </c>
    </row>
    <row r="46" spans="6:10">
      <c r="F46" s="1">
        <f t="shared" si="0"/>
        <v>39</v>
      </c>
      <c r="G46" s="22">
        <f t="shared" si="1"/>
        <v>1.5903575255472263E-101</v>
      </c>
      <c r="H46" s="22">
        <f t="shared" si="2"/>
        <v>9.013924030034633E+27</v>
      </c>
      <c r="I46" s="22">
        <f t="shared" si="3"/>
        <v>1.8189894035458562E-129</v>
      </c>
      <c r="J46" s="11">
        <f t="shared" si="4"/>
        <v>0.96995303368089503</v>
      </c>
    </row>
    <row r="47" spans="6:10">
      <c r="F47" s="1">
        <f t="shared" si="0"/>
        <v>40</v>
      </c>
      <c r="G47" s="22">
        <f t="shared" si="1"/>
        <v>1.2132542403499345E-104</v>
      </c>
      <c r="H47" s="22">
        <f t="shared" si="2"/>
        <v>1.3746234145802817E+28</v>
      </c>
      <c r="I47" s="22">
        <f t="shared" si="3"/>
        <v>9.0949470177292791E-133</v>
      </c>
      <c r="J47" s="11">
        <f t="shared" si="4"/>
        <v>0.97043825280729856</v>
      </c>
    </row>
    <row r="48" spans="6:10">
      <c r="F48" s="1">
        <f t="shared" si="0"/>
        <v>41</v>
      </c>
      <c r="G48" s="22">
        <f t="shared" si="1"/>
        <v>8.8819110068443982E-108</v>
      </c>
      <c r="H48" s="22">
        <f t="shared" si="2"/>
        <v>2.0116440213369964E+28</v>
      </c>
      <c r="I48" s="22">
        <f t="shared" si="3"/>
        <v>4.5474735088646392E-136</v>
      </c>
      <c r="J48" s="11">
        <f t="shared" si="4"/>
        <v>0.97092371466463068</v>
      </c>
    </row>
    <row r="49" spans="6:10">
      <c r="F49" s="1">
        <f t="shared" si="0"/>
        <v>42</v>
      </c>
      <c r="G49" s="22">
        <f t="shared" si="1"/>
        <v>6.2416059149076879E-111</v>
      </c>
      <c r="H49" s="22">
        <f t="shared" si="2"/>
        <v>2.8258808871162569E+28</v>
      </c>
      <c r="I49" s="22">
        <f t="shared" si="3"/>
        <v>2.2737367544323197E-139</v>
      </c>
      <c r="J49" s="11">
        <f t="shared" si="4"/>
        <v>0.97140941937431791</v>
      </c>
    </row>
    <row r="50" spans="6:10">
      <c r="F50" s="1">
        <f t="shared" si="0"/>
        <v>43</v>
      </c>
      <c r="G50" s="22">
        <f t="shared" si="1"/>
        <v>4.2115609323806801E-114</v>
      </c>
      <c r="H50" s="22">
        <f t="shared" si="2"/>
        <v>3.8116532895986739E+28</v>
      </c>
      <c r="I50" s="22">
        <f t="shared" si="3"/>
        <v>1.13686837721616E-142</v>
      </c>
      <c r="J50" s="11">
        <f t="shared" si="4"/>
        <v>0.97189536705784674</v>
      </c>
    </row>
    <row r="51" spans="6:10">
      <c r="F51" s="1">
        <f t="shared" si="0"/>
        <v>44</v>
      </c>
      <c r="G51" s="22">
        <f t="shared" si="1"/>
        <v>2.7293075304208766E-117</v>
      </c>
      <c r="H51" s="22">
        <f t="shared" si="2"/>
        <v>4.9378235797073715E+28</v>
      </c>
      <c r="I51" s="22">
        <f t="shared" si="3"/>
        <v>5.6843418860807996E-146</v>
      </c>
      <c r="J51" s="11">
        <f t="shared" si="4"/>
        <v>0.97238155783676505</v>
      </c>
    </row>
    <row r="52" spans="6:10">
      <c r="F52" s="1">
        <f t="shared" si="0"/>
        <v>45</v>
      </c>
      <c r="G52" s="22">
        <f t="shared" si="1"/>
        <v>1.6990853393760122E-120</v>
      </c>
      <c r="H52" s="22">
        <f t="shared" si="2"/>
        <v>6.1448471214136226E+28</v>
      </c>
      <c r="I52" s="22">
        <f t="shared" si="3"/>
        <v>2.8421709430403996E-149</v>
      </c>
      <c r="J52" s="11">
        <f t="shared" si="4"/>
        <v>0.97286799183268124</v>
      </c>
    </row>
    <row r="53" spans="6:10">
      <c r="F53" s="1">
        <f t="shared" si="0"/>
        <v>46</v>
      </c>
      <c r="G53" s="22">
        <f t="shared" si="1"/>
        <v>1.0162656726806947E-123</v>
      </c>
      <c r="H53" s="22">
        <f t="shared" si="2"/>
        <v>7.347099819081501E+28</v>
      </c>
      <c r="I53" s="22">
        <f t="shared" si="3"/>
        <v>1.4210854715201998E-152</v>
      </c>
      <c r="J53" s="11">
        <f t="shared" si="4"/>
        <v>0.97335466916726487</v>
      </c>
    </row>
    <row r="54" spans="6:10">
      <c r="F54" s="1">
        <f t="shared" si="0"/>
        <v>47</v>
      </c>
      <c r="G54" s="22">
        <f t="shared" si="1"/>
        <v>5.8410424706776239E-127</v>
      </c>
      <c r="H54" s="22">
        <f t="shared" si="2"/>
        <v>8.4413487283063988E+28</v>
      </c>
      <c r="I54" s="22">
        <f t="shared" si="3"/>
        <v>7.1054273576010001E-156</v>
      </c>
      <c r="J54" s="11">
        <f t="shared" si="4"/>
        <v>0.9738415899622459</v>
      </c>
    </row>
    <row r="55" spans="6:10">
      <c r="F55" s="1">
        <f t="shared" si="0"/>
        <v>48</v>
      </c>
      <c r="G55" s="22">
        <f t="shared" si="1"/>
        <v>3.2263553750407946E-130</v>
      </c>
      <c r="H55" s="22">
        <f t="shared" si="2"/>
        <v>9.3206558875049932E+28</v>
      </c>
      <c r="I55" s="22">
        <f t="shared" si="3"/>
        <v>3.5527136788004992E-159</v>
      </c>
      <c r="J55" s="11">
        <f t="shared" si="4"/>
        <v>0.97432875433941557</v>
      </c>
    </row>
    <row r="56" spans="6:10">
      <c r="F56" s="1">
        <f t="shared" si="0"/>
        <v>49</v>
      </c>
      <c r="G56" s="22">
        <f t="shared" si="1"/>
        <v>1.7128000684232035E-133</v>
      </c>
      <c r="H56" s="22">
        <f t="shared" si="2"/>
        <v>9.8913082887808022E+28</v>
      </c>
      <c r="I56" s="22">
        <f t="shared" si="3"/>
        <v>1.7763568394002497E-162</v>
      </c>
      <c r="J56" s="11">
        <f t="shared" si="4"/>
        <v>0.97481616242062574</v>
      </c>
    </row>
    <row r="57" spans="6:10">
      <c r="F57" s="1">
        <f t="shared" si="0"/>
        <v>50</v>
      </c>
      <c r="G57" s="22">
        <f t="shared" si="1"/>
        <v>8.739650174045356E-137</v>
      </c>
      <c r="H57" s="22">
        <f t="shared" si="2"/>
        <v>1.0089134454556413E+29</v>
      </c>
      <c r="I57" s="22">
        <f t="shared" si="3"/>
        <v>8.8817841970012476E-166</v>
      </c>
      <c r="J57" s="11">
        <f t="shared" si="4"/>
        <v>0.97530381432778968</v>
      </c>
    </row>
    <row r="58" spans="6:10">
      <c r="F58" s="1">
        <f t="shared" si="0"/>
        <v>51</v>
      </c>
      <c r="G58" s="22">
        <f t="shared" si="1"/>
        <v>4.2862853848715332E-140</v>
      </c>
      <c r="H58" s="22">
        <f t="shared" si="2"/>
        <v>9.8913082887808022E+28</v>
      </c>
      <c r="I58" s="22">
        <f t="shared" si="3"/>
        <v>4.4408920985006246E-169</v>
      </c>
      <c r="J58" s="11">
        <f t="shared" si="4"/>
        <v>0.97579171018288091</v>
      </c>
    </row>
    <row r="59" spans="6:10">
      <c r="F59" s="1">
        <f t="shared" si="0"/>
        <v>52</v>
      </c>
      <c r="G59" s="22">
        <f t="shared" si="1"/>
        <v>2.0205100998451657E-143</v>
      </c>
      <c r="H59" s="22">
        <f t="shared" si="2"/>
        <v>9.3206558875049932E+28</v>
      </c>
      <c r="I59" s="22">
        <f t="shared" si="3"/>
        <v>2.220446049250312E-172</v>
      </c>
      <c r="J59" s="11">
        <f t="shared" si="4"/>
        <v>0.97627985010793494</v>
      </c>
    </row>
    <row r="60" spans="6:10">
      <c r="F60" s="1">
        <f t="shared" si="0"/>
        <v>53</v>
      </c>
      <c r="G60" s="22">
        <f t="shared" si="1"/>
        <v>9.1540567257749459E-147</v>
      </c>
      <c r="H60" s="22">
        <f t="shared" si="2"/>
        <v>8.4413487283063988E+28</v>
      </c>
      <c r="I60" s="22">
        <f t="shared" si="3"/>
        <v>1.1102230246251561E-175</v>
      </c>
      <c r="J60" s="11">
        <f t="shared" si="4"/>
        <v>0.97676823422504722</v>
      </c>
    </row>
    <row r="61" spans="6:10">
      <c r="F61" s="1">
        <f t="shared" si="0"/>
        <v>54</v>
      </c>
      <c r="G61" s="22">
        <f t="shared" si="1"/>
        <v>3.9857027227634446E-150</v>
      </c>
      <c r="H61" s="22">
        <f t="shared" si="2"/>
        <v>7.347099819081501E+28</v>
      </c>
      <c r="I61" s="22">
        <f t="shared" si="3"/>
        <v>5.5511151231257797E-179</v>
      </c>
      <c r="J61" s="11">
        <f t="shared" si="4"/>
        <v>0.97725686265637546</v>
      </c>
    </row>
    <row r="62" spans="6:10">
      <c r="F62" s="1">
        <f t="shared" si="0"/>
        <v>55</v>
      </c>
      <c r="G62" s="22">
        <f t="shared" si="1"/>
        <v>1.6675822024386609E-153</v>
      </c>
      <c r="H62" s="22">
        <f t="shared" si="2"/>
        <v>6.1448471214136226E+28</v>
      </c>
      <c r="I62" s="22">
        <f t="shared" si="3"/>
        <v>2.7755575615628904E-182</v>
      </c>
      <c r="J62" s="11">
        <f t="shared" si="4"/>
        <v>0.97774573552413746</v>
      </c>
    </row>
    <row r="63" spans="6:10">
      <c r="F63" s="1">
        <f t="shared" si="0"/>
        <v>56</v>
      </c>
      <c r="G63" s="22">
        <f t="shared" si="1"/>
        <v>6.7034587927659952E-157</v>
      </c>
      <c r="H63" s="22">
        <f t="shared" si="2"/>
        <v>4.9378235797073715E+28</v>
      </c>
      <c r="I63" s="22">
        <f t="shared" si="3"/>
        <v>1.3877787807814449E-185</v>
      </c>
      <c r="J63" s="11">
        <f t="shared" si="4"/>
        <v>0.97823485295061274</v>
      </c>
    </row>
    <row r="64" spans="6:10">
      <c r="F64" s="1">
        <f t="shared" si="0"/>
        <v>57</v>
      </c>
      <c r="G64" s="22">
        <f t="shared" si="1"/>
        <v>2.5885941820182358E-160</v>
      </c>
      <c r="H64" s="22">
        <f t="shared" si="2"/>
        <v>3.8116532895986739E+28</v>
      </c>
      <c r="I64" s="22">
        <f t="shared" si="3"/>
        <v>6.9388939039072243E-189</v>
      </c>
      <c r="J64" s="11">
        <f t="shared" si="4"/>
        <v>0.97872421505814167</v>
      </c>
    </row>
    <row r="65" spans="6:10">
      <c r="F65" s="1">
        <f t="shared" si="0"/>
        <v>58</v>
      </c>
      <c r="G65" s="22">
        <f t="shared" si="1"/>
        <v>9.6004510726728956E-164</v>
      </c>
      <c r="H65" s="22">
        <f t="shared" si="2"/>
        <v>2.8258808871162569E+28</v>
      </c>
      <c r="I65" s="22">
        <f t="shared" si="3"/>
        <v>3.4694469519536122E-192</v>
      </c>
      <c r="J65" s="11">
        <f t="shared" si="4"/>
        <v>0.97921382196912621</v>
      </c>
    </row>
    <row r="66" spans="6:10">
      <c r="F66" s="1">
        <f t="shared" si="0"/>
        <v>59</v>
      </c>
      <c r="G66" s="22">
        <f t="shared" si="1"/>
        <v>3.4188191133894203E-167</v>
      </c>
      <c r="H66" s="22">
        <f t="shared" si="2"/>
        <v>2.0116440213369964E+28</v>
      </c>
      <c r="I66" s="22">
        <f t="shared" si="3"/>
        <v>1.7347234759768063E-195</v>
      </c>
      <c r="J66" s="11">
        <f t="shared" si="4"/>
        <v>0.97970367380602918</v>
      </c>
    </row>
    <row r="67" spans="6:10">
      <c r="F67" s="1">
        <f t="shared" si="0"/>
        <v>60</v>
      </c>
      <c r="G67" s="22">
        <f t="shared" si="1"/>
        <v>1.1686808708434745E-170</v>
      </c>
      <c r="H67" s="22">
        <f t="shared" si="2"/>
        <v>1.3746234145802817E+28</v>
      </c>
      <c r="I67" s="22">
        <f t="shared" si="3"/>
        <v>8.6736173798840319E-199</v>
      </c>
      <c r="J67" s="11">
        <f t="shared" si="4"/>
        <v>0.98019377069137481</v>
      </c>
    </row>
    <row r="68" spans="6:10">
      <c r="F68" s="1">
        <f t="shared" si="0"/>
        <v>61</v>
      </c>
      <c r="G68" s="22">
        <f t="shared" si="1"/>
        <v>3.8336573888369562E-174</v>
      </c>
      <c r="H68" s="22">
        <f t="shared" si="2"/>
        <v>9.013924030034633E+27</v>
      </c>
      <c r="I68" s="22">
        <f t="shared" si="3"/>
        <v>4.3368086899420159E-202</v>
      </c>
      <c r="J68" s="11">
        <f t="shared" si="4"/>
        <v>0.98068411274774847</v>
      </c>
    </row>
    <row r="69" spans="6:10">
      <c r="F69" s="1">
        <f t="shared" si="0"/>
        <v>62</v>
      </c>
      <c r="G69" s="22">
        <f t="shared" si="1"/>
        <v>1.2063502571014633E-177</v>
      </c>
      <c r="H69" s="22">
        <f t="shared" si="2"/>
        <v>5.670048986634683E+27</v>
      </c>
      <c r="I69" s="22">
        <f t="shared" si="3"/>
        <v>2.1684043449710078E-205</v>
      </c>
      <c r="J69" s="11">
        <f t="shared" si="4"/>
        <v>0.9811747000977975</v>
      </c>
    </row>
    <row r="70" spans="6:10">
      <c r="F70" s="1">
        <f t="shared" si="0"/>
        <v>63</v>
      </c>
      <c r="G70" s="22">
        <f t="shared" si="1"/>
        <v>3.640019197682626E-181</v>
      </c>
      <c r="H70" s="22">
        <f t="shared" si="2"/>
        <v>3.4200295474939415E+27</v>
      </c>
      <c r="I70" s="22">
        <f t="shared" si="3"/>
        <v>1.0842021724855041E-208</v>
      </c>
      <c r="J70" s="11">
        <f t="shared" si="4"/>
        <v>0.98166553286422953</v>
      </c>
    </row>
    <row r="71" spans="6:10">
      <c r="F71" s="1">
        <f t="shared" si="0"/>
        <v>64</v>
      </c>
      <c r="G71" s="22">
        <f t="shared" si="1"/>
        <v>1.0527194090346501E-184</v>
      </c>
      <c r="H71" s="22">
        <f t="shared" si="2"/>
        <v>1.9772045821449335E+27</v>
      </c>
      <c r="I71" s="22">
        <f t="shared" si="3"/>
        <v>5.4210108624275185E-212</v>
      </c>
      <c r="J71" s="11">
        <f t="shared" si="4"/>
        <v>0.98215661116981434</v>
      </c>
    </row>
    <row r="72" spans="6:10">
      <c r="F72" s="1">
        <f t="shared" si="0"/>
        <v>65</v>
      </c>
      <c r="G72" s="22">
        <f t="shared" si="1"/>
        <v>2.9166813195249448E-188</v>
      </c>
      <c r="H72" s="22">
        <f t="shared" si="2"/>
        <v>1.0950671531879623E+27</v>
      </c>
      <c r="I72" s="22">
        <f t="shared" si="3"/>
        <v>2.7105054312137593E-215</v>
      </c>
      <c r="J72" s="11">
        <f t="shared" si="4"/>
        <v>0.98264793513738291</v>
      </c>
    </row>
    <row r="73" spans="6:10">
      <c r="F73" s="1">
        <f t="shared" ref="F73:F99" si="5">F72+1</f>
        <v>66</v>
      </c>
      <c r="G73" s="22">
        <f t="shared" ref="G73:G106" si="6">H73*I73*J73</f>
        <v>7.7374934575903948E-192</v>
      </c>
      <c r="H73" s="22">
        <f t="shared" ref="H73:H106" si="7">COMBIN($D$7,F73)</f>
        <v>5.8071742972088937E+26</v>
      </c>
      <c r="I73" s="22">
        <f t="shared" ref="I73:I106" si="8">$D$6^F73</f>
        <v>1.3552527156068797E-218</v>
      </c>
      <c r="J73" s="11">
        <f t="shared" ref="J73:J106" si="9">(1-$D$6)^($D$7-F73)</f>
        <v>0.98313950488982782</v>
      </c>
    </row>
    <row r="74" spans="6:10">
      <c r="F74" s="1">
        <f t="shared" si="5"/>
        <v>67</v>
      </c>
      <c r="G74" s="22">
        <f t="shared" si="6"/>
        <v>1.9642267220033424E-195</v>
      </c>
      <c r="H74" s="22">
        <f t="shared" si="7"/>
        <v>2.9469242702254117E+26</v>
      </c>
      <c r="I74" s="22">
        <f t="shared" si="8"/>
        <v>6.7762635780343987E-222</v>
      </c>
      <c r="J74" s="11">
        <f t="shared" si="9"/>
        <v>0.98363132055010272</v>
      </c>
    </row>
    <row r="75" spans="6:10">
      <c r="F75" s="1">
        <f t="shared" si="5"/>
        <v>68</v>
      </c>
      <c r="G75" s="22">
        <f t="shared" si="6"/>
        <v>4.7685226308823694E-199</v>
      </c>
      <c r="H75" s="22">
        <f t="shared" si="7"/>
        <v>1.4301250134917424E+26</v>
      </c>
      <c r="I75" s="22">
        <f t="shared" si="8"/>
        <v>3.388131789017199E-225</v>
      </c>
      <c r="J75" s="11">
        <f t="shared" si="9"/>
        <v>0.98412338224122331</v>
      </c>
    </row>
    <row r="76" spans="6:10">
      <c r="F76" s="1">
        <f t="shared" si="5"/>
        <v>69</v>
      </c>
      <c r="G76" s="22">
        <f t="shared" si="6"/>
        <v>1.1062975269390905E-202</v>
      </c>
      <c r="H76" s="22">
        <f t="shared" si="7"/>
        <v>6.6324638306863368E+25</v>
      </c>
      <c r="I76" s="22">
        <f t="shared" si="8"/>
        <v>1.6940658945085997E-228</v>
      </c>
      <c r="J76" s="11">
        <f t="shared" si="9"/>
        <v>0.98461569008626626</v>
      </c>
    </row>
    <row r="77" spans="6:10">
      <c r="F77" s="1">
        <f t="shared" si="5"/>
        <v>70</v>
      </c>
      <c r="G77" s="22">
        <f t="shared" si="6"/>
        <v>2.4508842517767332E-206</v>
      </c>
      <c r="H77" s="22">
        <f t="shared" si="7"/>
        <v>2.9372339821610943E+25</v>
      </c>
      <c r="I77" s="22">
        <f t="shared" si="8"/>
        <v>8.4703294725429966E-232</v>
      </c>
      <c r="J77" s="11">
        <f t="shared" si="9"/>
        <v>0.98510824420837051</v>
      </c>
    </row>
    <row r="78" spans="6:10">
      <c r="F78" s="1">
        <f t="shared" si="5"/>
        <v>71</v>
      </c>
      <c r="G78" s="22">
        <f t="shared" si="6"/>
        <v>5.1805147329511263E-210</v>
      </c>
      <c r="H78" s="22">
        <f t="shared" si="7"/>
        <v>1.241084781194829E+25</v>
      </c>
      <c r="I78" s="22">
        <f t="shared" si="8"/>
        <v>4.2351647362714994E-235</v>
      </c>
      <c r="J78" s="11">
        <f t="shared" si="9"/>
        <v>0.98560104473073584</v>
      </c>
    </row>
    <row r="79" spans="6:10">
      <c r="F79" s="1">
        <f t="shared" si="5"/>
        <v>72</v>
      </c>
      <c r="G79" s="22">
        <f t="shared" si="6"/>
        <v>1.0438200159495208E-213</v>
      </c>
      <c r="H79" s="22">
        <f t="shared" si="7"/>
        <v>4.9988137020347276E+24</v>
      </c>
      <c r="I79" s="22">
        <f t="shared" si="8"/>
        <v>2.1175823681357492E-238</v>
      </c>
      <c r="J79" s="11">
        <f t="shared" si="9"/>
        <v>0.9860940917766241</v>
      </c>
    </row>
    <row r="80" spans="6:10">
      <c r="F80" s="1">
        <f t="shared" si="5"/>
        <v>73</v>
      </c>
      <c r="G80" s="22">
        <f t="shared" si="6"/>
        <v>2.0028480299455591E-217</v>
      </c>
      <c r="H80" s="22">
        <f t="shared" si="7"/>
        <v>1.9173532007804425E+24</v>
      </c>
      <c r="I80" s="22">
        <f t="shared" si="8"/>
        <v>1.0587911840678746E-241</v>
      </c>
      <c r="J80" s="11">
        <f t="shared" si="9"/>
        <v>0.98658738546935854</v>
      </c>
    </row>
    <row r="81" spans="6:10">
      <c r="F81" s="1">
        <f t="shared" si="5"/>
        <v>74</v>
      </c>
      <c r="G81" s="22">
        <f t="shared" si="6"/>
        <v>3.6556722150622682E-221</v>
      </c>
      <c r="H81" s="22">
        <f t="shared" si="7"/>
        <v>6.9957481650097247E+23</v>
      </c>
      <c r="I81" s="22">
        <f t="shared" si="8"/>
        <v>5.2939559203393733E-245</v>
      </c>
      <c r="J81" s="11">
        <f t="shared" si="9"/>
        <v>0.98708092593232477</v>
      </c>
    </row>
    <row r="82" spans="6:10">
      <c r="F82" s="1">
        <f t="shared" si="5"/>
        <v>75</v>
      </c>
      <c r="G82" s="22">
        <f t="shared" si="6"/>
        <v>6.3396683402780697E-225</v>
      </c>
      <c r="H82" s="22">
        <f t="shared" si="7"/>
        <v>2.4251926972033706E+23</v>
      </c>
      <c r="I82" s="22">
        <f t="shared" si="8"/>
        <v>2.6469779601696869E-248</v>
      </c>
      <c r="J82" s="11">
        <f t="shared" si="9"/>
        <v>0.98757471328896917</v>
      </c>
    </row>
    <row r="83" spans="6:10">
      <c r="F83" s="1">
        <f t="shared" si="5"/>
        <v>76</v>
      </c>
      <c r="G83" s="22">
        <f t="shared" si="6"/>
        <v>1.0432302237102221E-228</v>
      </c>
      <c r="H83" s="22">
        <f t="shared" si="7"/>
        <v>7.9776075565900384E+22</v>
      </c>
      <c r="I83" s="22">
        <f t="shared" si="8"/>
        <v>1.3234889800848434E-251</v>
      </c>
      <c r="J83" s="11">
        <f t="shared" si="9"/>
        <v>0.98806874766280051</v>
      </c>
    </row>
    <row r="84" spans="6:10">
      <c r="F84" s="1">
        <f t="shared" si="5"/>
        <v>77</v>
      </c>
      <c r="G84" s="22">
        <f t="shared" si="6"/>
        <v>1.6266266489767812E-232</v>
      </c>
      <c r="H84" s="22">
        <f t="shared" si="7"/>
        <v>2.4865270306254648E+22</v>
      </c>
      <c r="I84" s="22">
        <f t="shared" si="8"/>
        <v>6.6174449004242166E-255</v>
      </c>
      <c r="J84" s="11">
        <f t="shared" si="9"/>
        <v>0.98856302917738903</v>
      </c>
    </row>
    <row r="85" spans="6:10">
      <c r="F85" s="1">
        <f t="shared" si="5"/>
        <v>78</v>
      </c>
      <c r="G85" s="22">
        <f t="shared" si="6"/>
        <v>2.3994313135071381E-236</v>
      </c>
      <c r="H85" s="22">
        <f t="shared" si="7"/>
        <v>7.3320668851776583E+21</v>
      </c>
      <c r="I85" s="22">
        <f t="shared" si="8"/>
        <v>3.3087224502121082E-258</v>
      </c>
      <c r="J85" s="11">
        <f t="shared" si="9"/>
        <v>0.98905755795636729</v>
      </c>
    </row>
    <row r="86" spans="6:10">
      <c r="F86" s="1">
        <f t="shared" si="5"/>
        <v>79</v>
      </c>
      <c r="G86" s="22">
        <f t="shared" si="6"/>
        <v>3.34265163576453E-240</v>
      </c>
      <c r="H86" s="22">
        <f t="shared" si="7"/>
        <v>2.0418414110621326E+21</v>
      </c>
      <c r="I86" s="22">
        <f t="shared" si="8"/>
        <v>1.6543612251060542E-261</v>
      </c>
      <c r="J86" s="11">
        <f t="shared" si="9"/>
        <v>0.98955233412342891</v>
      </c>
    </row>
    <row r="87" spans="6:10">
      <c r="F87" s="1">
        <f t="shared" si="5"/>
        <v>80</v>
      </c>
      <c r="G87" s="22">
        <f t="shared" si="6"/>
        <v>4.3894249844331608E-244</v>
      </c>
      <c r="H87" s="22">
        <f t="shared" si="7"/>
        <v>5.3598337040380979E+20</v>
      </c>
      <c r="I87" s="22">
        <f t="shared" si="8"/>
        <v>8.2718061255302699E-265</v>
      </c>
      <c r="J87" s="11">
        <f t="shared" si="9"/>
        <v>0.99004735780233</v>
      </c>
    </row>
    <row r="88" spans="6:10">
      <c r="F88" s="1">
        <f t="shared" si="5"/>
        <v>81</v>
      </c>
      <c r="G88" s="22">
        <f t="shared" si="6"/>
        <v>5.4217540676920688E-248</v>
      </c>
      <c r="H88" s="22">
        <f t="shared" si="7"/>
        <v>1.3234157293921229E+20</v>
      </c>
      <c r="I88" s="22">
        <f t="shared" si="8"/>
        <v>4.1359030627651351E-268</v>
      </c>
      <c r="J88" s="11">
        <f t="shared" si="9"/>
        <v>0.99054262911688828</v>
      </c>
    </row>
    <row r="89" spans="6:10">
      <c r="F89" s="1">
        <f t="shared" si="5"/>
        <v>82</v>
      </c>
      <c r="G89" s="22">
        <f t="shared" si="6"/>
        <v>6.2844426656101995E-252</v>
      </c>
      <c r="H89" s="22">
        <f t="shared" si="7"/>
        <v>3.0664510802988204E+19</v>
      </c>
      <c r="I89" s="22">
        <f t="shared" si="8"/>
        <v>2.0679515313825673E-271</v>
      </c>
      <c r="J89" s="11">
        <f t="shared" si="9"/>
        <v>0.99103814819098379</v>
      </c>
    </row>
    <row r="90" spans="6:10">
      <c r="F90" s="1">
        <f t="shared" si="5"/>
        <v>83</v>
      </c>
      <c r="G90" s="22">
        <f t="shared" si="6"/>
        <v>6.8178648348863329E-256</v>
      </c>
      <c r="H90" s="22">
        <f t="shared" si="7"/>
        <v>6.6501348729371996E+18</v>
      </c>
      <c r="I90" s="22">
        <f t="shared" si="8"/>
        <v>1.0339757656912839E-274</v>
      </c>
      <c r="J90" s="11">
        <f t="shared" si="9"/>
        <v>0.99153391514855793</v>
      </c>
    </row>
    <row r="91" spans="6:10">
      <c r="F91" s="1">
        <f t="shared" si="5"/>
        <v>84</v>
      </c>
      <c r="G91" s="22">
        <f t="shared" si="6"/>
        <v>6.9024811330110146E-260</v>
      </c>
      <c r="H91" s="22">
        <f t="shared" si="7"/>
        <v>1.3458606290468155E+18</v>
      </c>
      <c r="I91" s="22">
        <f t="shared" si="8"/>
        <v>5.1698788284564183E-278</v>
      </c>
      <c r="J91" s="11">
        <f t="shared" si="9"/>
        <v>0.99202993011361473</v>
      </c>
    </row>
    <row r="92" spans="6:10">
      <c r="F92" s="1">
        <f t="shared" si="5"/>
        <v>85</v>
      </c>
      <c r="G92" s="22">
        <f t="shared" si="6"/>
        <v>6.4997026824103912E-264</v>
      </c>
      <c r="H92" s="22">
        <f t="shared" si="7"/>
        <v>2.5333847134998864E+17</v>
      </c>
      <c r="I92" s="22">
        <f t="shared" si="8"/>
        <v>2.5849394142282097E-281</v>
      </c>
      <c r="J92" s="11">
        <f t="shared" si="9"/>
        <v>0.99252619321021962</v>
      </c>
    </row>
    <row r="93" spans="6:10">
      <c r="F93" s="1">
        <f t="shared" si="5"/>
        <v>86</v>
      </c>
      <c r="G93" s="22">
        <f t="shared" si="6"/>
        <v>5.6711809530437222E-268</v>
      </c>
      <c r="H93" s="22">
        <f t="shared" si="7"/>
        <v>4.41869426773236E+16</v>
      </c>
      <c r="I93" s="22">
        <f t="shared" si="8"/>
        <v>1.2924697071141045E-284</v>
      </c>
      <c r="J93" s="11">
        <f t="shared" si="9"/>
        <v>0.99302270456250097</v>
      </c>
    </row>
    <row r="94" spans="6:10">
      <c r="F94" s="1">
        <f t="shared" si="5"/>
        <v>87</v>
      </c>
      <c r="G94" s="22">
        <f t="shared" si="6"/>
        <v>4.5653018085256479E-272</v>
      </c>
      <c r="H94" s="22">
        <f t="shared" si="7"/>
        <v>7110542499799198</v>
      </c>
      <c r="I94" s="22">
        <f t="shared" si="8"/>
        <v>6.4623485355705242E-288</v>
      </c>
      <c r="J94" s="11">
        <f t="shared" si="9"/>
        <v>0.99351946429464821</v>
      </c>
    </row>
    <row r="95" spans="6:10">
      <c r="F95" s="1">
        <f t="shared" si="5"/>
        <v>88</v>
      </c>
      <c r="G95" s="22">
        <f t="shared" si="6"/>
        <v>3.3737848191614801E-276</v>
      </c>
      <c r="H95" s="22">
        <f t="shared" si="7"/>
        <v>1050421051106700</v>
      </c>
      <c r="I95" s="22">
        <f t="shared" si="8"/>
        <v>3.2311742677852615E-291</v>
      </c>
      <c r="J95" s="11">
        <f t="shared" si="9"/>
        <v>0.99401647253091363</v>
      </c>
    </row>
    <row r="96" spans="6:10">
      <c r="F96" s="1">
        <f t="shared" si="5"/>
        <v>89</v>
      </c>
      <c r="G96" s="22">
        <f t="shared" si="6"/>
        <v>2.2755994755769886E-280</v>
      </c>
      <c r="H96" s="22">
        <f t="shared" si="7"/>
        <v>141629804643600.03</v>
      </c>
      <c r="I96" s="22">
        <f t="shared" si="8"/>
        <v>1.6155871338926308E-294</v>
      </c>
      <c r="J96" s="11">
        <f t="shared" si="9"/>
        <v>0.99451372939561122</v>
      </c>
    </row>
    <row r="97" spans="6:10">
      <c r="F97" s="1">
        <f t="shared" si="5"/>
        <v>90</v>
      </c>
      <c r="G97" s="22">
        <f t="shared" si="6"/>
        <v>1.3913397938606456E-284</v>
      </c>
      <c r="H97" s="22">
        <f t="shared" si="7"/>
        <v>17310309456440.006</v>
      </c>
      <c r="I97" s="22">
        <f t="shared" si="8"/>
        <v>8.0779356694631527E-298</v>
      </c>
      <c r="J97" s="11">
        <f t="shared" si="9"/>
        <v>0.99501123501311783</v>
      </c>
    </row>
    <row r="98" spans="6:10">
      <c r="F98" s="1">
        <f t="shared" si="5"/>
        <v>91</v>
      </c>
      <c r="G98" s="22">
        <f t="shared" si="6"/>
        <v>7.6485484162996063E-289</v>
      </c>
      <c r="H98" s="22">
        <f t="shared" si="7"/>
        <v>1902231808400</v>
      </c>
      <c r="I98" s="22">
        <f t="shared" si="8"/>
        <v>4.0389678347315767E-301</v>
      </c>
      <c r="J98" s="11">
        <f t="shared" si="9"/>
        <v>0.9955089895078717</v>
      </c>
    </row>
    <row r="99" spans="6:10">
      <c r="F99" s="1">
        <f t="shared" si="5"/>
        <v>92</v>
      </c>
      <c r="G99" s="22">
        <f t="shared" si="6"/>
        <v>3.7430093169789492E-293</v>
      </c>
      <c r="H99" s="22">
        <f t="shared" si="7"/>
        <v>186087894300</v>
      </c>
      <c r="I99" s="22">
        <f t="shared" si="8"/>
        <v>2.0194839173657884E-304</v>
      </c>
      <c r="J99" s="11">
        <f t="shared" si="9"/>
        <v>0.99600699300437379</v>
      </c>
    </row>
    <row r="100" spans="6:10">
      <c r="F100" s="1">
        <f>F99+1</f>
        <v>93</v>
      </c>
      <c r="G100" s="22">
        <f t="shared" si="6"/>
        <v>1.6107018313367211E-297</v>
      </c>
      <c r="H100" s="22">
        <f t="shared" si="7"/>
        <v>16007560799.999996</v>
      </c>
      <c r="I100" s="22">
        <f t="shared" si="8"/>
        <v>1.0097419586828942E-307</v>
      </c>
      <c r="J100" s="11">
        <f t="shared" si="9"/>
        <v>0.99650524562718723</v>
      </c>
    </row>
    <row r="101" spans="6:10">
      <c r="F101" s="1">
        <f t="shared" ref="F101:F104" si="10">F100+1</f>
        <v>94</v>
      </c>
      <c r="G101" s="22">
        <f t="shared" si="6"/>
        <v>0</v>
      </c>
      <c r="H101" s="22">
        <f t="shared" si="7"/>
        <v>1192052400</v>
      </c>
      <c r="I101" s="22">
        <f t="shared" si="8"/>
        <v>0</v>
      </c>
      <c r="J101" s="11">
        <f t="shared" si="9"/>
        <v>0.99700374750093779</v>
      </c>
    </row>
    <row r="102" spans="6:10">
      <c r="F102" s="1">
        <f t="shared" si="10"/>
        <v>95</v>
      </c>
      <c r="G102" s="22">
        <f t="shared" si="6"/>
        <v>0</v>
      </c>
      <c r="H102" s="22">
        <f t="shared" si="7"/>
        <v>75287520</v>
      </c>
      <c r="I102" s="22">
        <f t="shared" si="8"/>
        <v>0</v>
      </c>
      <c r="J102" s="11">
        <f t="shared" si="9"/>
        <v>0.99750249875031283</v>
      </c>
    </row>
    <row r="103" spans="6:10">
      <c r="F103" s="1">
        <f t="shared" si="10"/>
        <v>96</v>
      </c>
      <c r="G103" s="22">
        <f t="shared" si="6"/>
        <v>0</v>
      </c>
      <c r="H103" s="22">
        <f t="shared" si="7"/>
        <v>3921225</v>
      </c>
      <c r="I103" s="22">
        <f t="shared" si="8"/>
        <v>0</v>
      </c>
      <c r="J103" s="11">
        <f t="shared" si="9"/>
        <v>0.99800149950006278</v>
      </c>
    </row>
    <row r="104" spans="6:10">
      <c r="F104" s="1">
        <f t="shared" si="10"/>
        <v>97</v>
      </c>
      <c r="G104" s="22">
        <f t="shared" si="6"/>
        <v>0</v>
      </c>
      <c r="H104" s="22">
        <f t="shared" si="7"/>
        <v>161700</v>
      </c>
      <c r="I104" s="22">
        <f t="shared" si="8"/>
        <v>0</v>
      </c>
      <c r="J104" s="11">
        <f t="shared" si="9"/>
        <v>0.99850074987500015</v>
      </c>
    </row>
    <row r="105" spans="6:10">
      <c r="F105" s="1">
        <f>F104+1</f>
        <v>98</v>
      </c>
      <c r="G105" s="22">
        <f t="shared" si="6"/>
        <v>0</v>
      </c>
      <c r="H105" s="22">
        <f t="shared" si="7"/>
        <v>4950</v>
      </c>
      <c r="I105" s="22">
        <f t="shared" si="8"/>
        <v>0</v>
      </c>
      <c r="J105" s="11">
        <f t="shared" si="9"/>
        <v>0.99900025000000015</v>
      </c>
    </row>
    <row r="106" spans="6:10">
      <c r="F106" s="1">
        <f t="shared" ref="F106" si="11">F105+1</f>
        <v>99</v>
      </c>
      <c r="G106" s="22">
        <f t="shared" si="6"/>
        <v>0</v>
      </c>
      <c r="H106" s="22">
        <f t="shared" si="7"/>
        <v>100</v>
      </c>
      <c r="I106" s="22">
        <f t="shared" si="8"/>
        <v>0</v>
      </c>
      <c r="J106" s="11">
        <f t="shared" si="9"/>
        <v>0.99950000000000006</v>
      </c>
    </row>
    <row r="107" spans="6:10" ht="18.5" thickBot="1">
      <c r="F107" s="2">
        <f>F106+1</f>
        <v>100</v>
      </c>
      <c r="G107" s="23">
        <f>H107*I107*J107</f>
        <v>0</v>
      </c>
      <c r="H107" s="23">
        <f>COMBIN($D$7,F107)</f>
        <v>1</v>
      </c>
      <c r="I107" s="23">
        <f>$D$6^F107</f>
        <v>0</v>
      </c>
      <c r="J107" s="12">
        <f>(1-$D$6)^($D$7-F107)</f>
        <v>1</v>
      </c>
    </row>
    <row r="108" spans="6:10" ht="18.5" thickTop="1"/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ED140-A4A5-466D-9E9A-8EA4EC81C4F2}">
  <dimension ref="B2:J108"/>
  <sheetViews>
    <sheetView showGridLines="0" workbookViewId="0">
      <selection activeCell="A2" sqref="A2"/>
    </sheetView>
  </sheetViews>
  <sheetFormatPr defaultRowHeight="18"/>
  <cols>
    <col min="2" max="2" width="12.33203125" bestFit="1" customWidth="1"/>
    <col min="3" max="3" width="21.58203125" customWidth="1"/>
    <col min="7" max="10" width="12.58203125" customWidth="1"/>
  </cols>
  <sheetData>
    <row r="2" spans="2:10">
      <c r="B2" t="s">
        <v>19</v>
      </c>
    </row>
    <row r="3" spans="2:10">
      <c r="B3" t="s">
        <v>20</v>
      </c>
    </row>
    <row r="4" spans="2:10" ht="18.5" thickBot="1"/>
    <row r="5" spans="2:10" ht="19" thickTop="1" thickBot="1">
      <c r="B5" s="7" t="s">
        <v>2</v>
      </c>
      <c r="C5" s="8" t="s">
        <v>4</v>
      </c>
      <c r="D5" s="9" t="s">
        <v>5</v>
      </c>
      <c r="F5" s="13" t="s">
        <v>18</v>
      </c>
      <c r="G5" s="14" t="s">
        <v>8</v>
      </c>
      <c r="H5" s="14" t="s">
        <v>9</v>
      </c>
      <c r="I5" s="14" t="s">
        <v>10</v>
      </c>
      <c r="J5" s="15" t="s">
        <v>11</v>
      </c>
    </row>
    <row r="6" spans="2:10" ht="19" thickTop="1" thickBot="1">
      <c r="B6" s="5" t="s">
        <v>0</v>
      </c>
      <c r="C6" s="6" t="s">
        <v>21</v>
      </c>
      <c r="D6" s="24"/>
      <c r="F6" s="16" t="s">
        <v>17</v>
      </c>
      <c r="G6" s="17" t="s">
        <v>7</v>
      </c>
      <c r="H6" s="17" t="s">
        <v>12</v>
      </c>
      <c r="I6" s="17" t="s">
        <v>13</v>
      </c>
      <c r="J6" s="18" t="s">
        <v>14</v>
      </c>
    </row>
    <row r="7" spans="2:10" ht="19" thickTop="1" thickBot="1">
      <c r="B7" s="2" t="s">
        <v>1</v>
      </c>
      <c r="C7" s="3" t="s">
        <v>22</v>
      </c>
      <c r="D7" s="25"/>
      <c r="F7" s="19">
        <v>0</v>
      </c>
      <c r="G7" s="26"/>
      <c r="H7" s="26"/>
      <c r="I7" s="26"/>
      <c r="J7" s="27"/>
    </row>
    <row r="8" spans="2:10" ht="19" thickTop="1" thickBot="1">
      <c r="F8" s="1">
        <f>F7+1</f>
        <v>1</v>
      </c>
      <c r="G8" s="28"/>
      <c r="H8" s="28"/>
      <c r="I8" s="28"/>
      <c r="J8" s="29"/>
    </row>
    <row r="9" spans="2:10" ht="18.5" thickTop="1">
      <c r="C9" s="31" t="s">
        <v>23</v>
      </c>
      <c r="D9" s="32"/>
      <c r="F9" s="1">
        <f t="shared" ref="F9:F72" si="0">F8+1</f>
        <v>2</v>
      </c>
      <c r="G9" s="28"/>
      <c r="H9" s="28"/>
      <c r="I9" s="28"/>
      <c r="J9" s="29"/>
    </row>
    <row r="10" spans="2:10" ht="18.5" thickBot="1">
      <c r="C10" s="2" t="s">
        <v>24</v>
      </c>
      <c r="D10" s="4"/>
      <c r="F10" s="1">
        <f t="shared" si="0"/>
        <v>3</v>
      </c>
      <c r="G10" s="28"/>
      <c r="H10" s="28"/>
      <c r="I10" s="28"/>
      <c r="J10" s="29"/>
    </row>
    <row r="11" spans="2:10" ht="19" thickTop="1" thickBot="1">
      <c r="F11" s="1">
        <f t="shared" si="0"/>
        <v>4</v>
      </c>
      <c r="G11" s="28"/>
      <c r="H11" s="28"/>
      <c r="I11" s="28"/>
      <c r="J11" s="29"/>
    </row>
    <row r="12" spans="2:10" ht="18.5" thickTop="1">
      <c r="C12" s="31" t="s">
        <v>25</v>
      </c>
      <c r="D12" s="32"/>
      <c r="F12" s="1">
        <f t="shared" si="0"/>
        <v>5</v>
      </c>
      <c r="G12" s="28"/>
      <c r="H12" s="28"/>
      <c r="I12" s="28"/>
      <c r="J12" s="29"/>
    </row>
    <row r="13" spans="2:10" ht="18.5" thickBot="1">
      <c r="C13" s="2" t="s">
        <v>26</v>
      </c>
      <c r="D13" s="4"/>
      <c r="F13" s="1">
        <f t="shared" si="0"/>
        <v>6</v>
      </c>
      <c r="G13" s="28"/>
      <c r="H13" s="28"/>
      <c r="I13" s="28"/>
      <c r="J13" s="29"/>
    </row>
    <row r="14" spans="2:10" ht="18.5" thickTop="1">
      <c r="F14" s="1">
        <f t="shared" si="0"/>
        <v>7</v>
      </c>
      <c r="G14" s="28"/>
      <c r="H14" s="28"/>
      <c r="I14" s="28"/>
      <c r="J14" s="29"/>
    </row>
    <row r="15" spans="2:10">
      <c r="F15" s="1">
        <f t="shared" si="0"/>
        <v>8</v>
      </c>
      <c r="G15" s="28"/>
      <c r="H15" s="28"/>
      <c r="I15" s="28"/>
      <c r="J15" s="29"/>
    </row>
    <row r="16" spans="2:10">
      <c r="F16" s="1">
        <f t="shared" si="0"/>
        <v>9</v>
      </c>
      <c r="G16" s="28"/>
      <c r="H16" s="28"/>
      <c r="I16" s="28"/>
      <c r="J16" s="29"/>
    </row>
    <row r="17" spans="6:10">
      <c r="F17" s="1">
        <f t="shared" si="0"/>
        <v>10</v>
      </c>
      <c r="G17" s="28"/>
      <c r="H17" s="28"/>
      <c r="I17" s="28"/>
      <c r="J17" s="29"/>
    </row>
    <row r="18" spans="6:10">
      <c r="F18" s="1">
        <f t="shared" si="0"/>
        <v>11</v>
      </c>
      <c r="G18" s="28"/>
      <c r="H18" s="28"/>
      <c r="I18" s="28"/>
      <c r="J18" s="29"/>
    </row>
    <row r="19" spans="6:10">
      <c r="F19" s="1">
        <f t="shared" si="0"/>
        <v>12</v>
      </c>
      <c r="G19" s="28"/>
      <c r="H19" s="28"/>
      <c r="I19" s="28"/>
      <c r="J19" s="29"/>
    </row>
    <row r="20" spans="6:10">
      <c r="F20" s="1">
        <f t="shared" si="0"/>
        <v>13</v>
      </c>
      <c r="G20" s="28"/>
      <c r="H20" s="28"/>
      <c r="I20" s="28"/>
      <c r="J20" s="29"/>
    </row>
    <row r="21" spans="6:10">
      <c r="F21" s="1">
        <f t="shared" si="0"/>
        <v>14</v>
      </c>
      <c r="G21" s="28"/>
      <c r="H21" s="28"/>
      <c r="I21" s="28"/>
      <c r="J21" s="29"/>
    </row>
    <row r="22" spans="6:10">
      <c r="F22" s="1">
        <f t="shared" si="0"/>
        <v>15</v>
      </c>
      <c r="G22" s="28"/>
      <c r="H22" s="28"/>
      <c r="I22" s="28"/>
      <c r="J22" s="29"/>
    </row>
    <row r="23" spans="6:10">
      <c r="F23" s="1">
        <f t="shared" si="0"/>
        <v>16</v>
      </c>
      <c r="G23" s="28"/>
      <c r="H23" s="28"/>
      <c r="I23" s="28"/>
      <c r="J23" s="29"/>
    </row>
    <row r="24" spans="6:10">
      <c r="F24" s="1">
        <f t="shared" si="0"/>
        <v>17</v>
      </c>
      <c r="G24" s="28"/>
      <c r="H24" s="28"/>
      <c r="I24" s="28"/>
      <c r="J24" s="29"/>
    </row>
    <row r="25" spans="6:10">
      <c r="F25" s="1">
        <f t="shared" si="0"/>
        <v>18</v>
      </c>
      <c r="G25" s="28"/>
      <c r="H25" s="28"/>
      <c r="I25" s="28"/>
      <c r="J25" s="29"/>
    </row>
    <row r="26" spans="6:10">
      <c r="F26" s="1">
        <f>F25+1</f>
        <v>19</v>
      </c>
      <c r="G26" s="28"/>
      <c r="H26" s="28"/>
      <c r="I26" s="28"/>
      <c r="J26" s="29"/>
    </row>
    <row r="27" spans="6:10">
      <c r="F27" s="1">
        <f t="shared" si="0"/>
        <v>20</v>
      </c>
      <c r="G27" s="28"/>
      <c r="H27" s="28"/>
      <c r="I27" s="28"/>
      <c r="J27" s="29"/>
    </row>
    <row r="28" spans="6:10">
      <c r="F28" s="1">
        <f t="shared" si="0"/>
        <v>21</v>
      </c>
      <c r="G28" s="28"/>
      <c r="H28" s="28"/>
      <c r="I28" s="28"/>
      <c r="J28" s="29"/>
    </row>
    <row r="29" spans="6:10">
      <c r="F29" s="1">
        <f t="shared" si="0"/>
        <v>22</v>
      </c>
      <c r="G29" s="28"/>
      <c r="H29" s="28"/>
      <c r="I29" s="28"/>
      <c r="J29" s="29"/>
    </row>
    <row r="30" spans="6:10">
      <c r="F30" s="1">
        <f t="shared" si="0"/>
        <v>23</v>
      </c>
      <c r="G30" s="28"/>
      <c r="H30" s="28"/>
      <c r="I30" s="28"/>
      <c r="J30" s="29"/>
    </row>
    <row r="31" spans="6:10">
      <c r="F31" s="1">
        <f t="shared" si="0"/>
        <v>24</v>
      </c>
      <c r="G31" s="28"/>
      <c r="H31" s="28"/>
      <c r="I31" s="28"/>
      <c r="J31" s="29"/>
    </row>
    <row r="32" spans="6:10">
      <c r="F32" s="1">
        <f t="shared" si="0"/>
        <v>25</v>
      </c>
      <c r="G32" s="28"/>
      <c r="H32" s="28"/>
      <c r="I32" s="28"/>
      <c r="J32" s="29"/>
    </row>
    <row r="33" spans="6:10">
      <c r="F33" s="1">
        <f t="shared" si="0"/>
        <v>26</v>
      </c>
      <c r="G33" s="28"/>
      <c r="H33" s="28"/>
      <c r="I33" s="28"/>
      <c r="J33" s="29"/>
    </row>
    <row r="34" spans="6:10">
      <c r="F34" s="1">
        <f t="shared" si="0"/>
        <v>27</v>
      </c>
      <c r="G34" s="28"/>
      <c r="H34" s="28"/>
      <c r="I34" s="28"/>
      <c r="J34" s="29"/>
    </row>
    <row r="35" spans="6:10">
      <c r="F35" s="1">
        <f t="shared" si="0"/>
        <v>28</v>
      </c>
      <c r="G35" s="28"/>
      <c r="H35" s="28"/>
      <c r="I35" s="28"/>
      <c r="J35" s="29"/>
    </row>
    <row r="36" spans="6:10">
      <c r="F36" s="1">
        <f t="shared" si="0"/>
        <v>29</v>
      </c>
      <c r="G36" s="28"/>
      <c r="H36" s="28"/>
      <c r="I36" s="28"/>
      <c r="J36" s="29"/>
    </row>
    <row r="37" spans="6:10">
      <c r="F37" s="1">
        <f t="shared" si="0"/>
        <v>30</v>
      </c>
      <c r="G37" s="28"/>
      <c r="H37" s="28"/>
      <c r="I37" s="28"/>
      <c r="J37" s="29"/>
    </row>
    <row r="38" spans="6:10">
      <c r="F38" s="1">
        <f t="shared" si="0"/>
        <v>31</v>
      </c>
      <c r="G38" s="28"/>
      <c r="H38" s="28"/>
      <c r="I38" s="28"/>
      <c r="J38" s="29"/>
    </row>
    <row r="39" spans="6:10">
      <c r="F39" s="1">
        <f t="shared" si="0"/>
        <v>32</v>
      </c>
      <c r="G39" s="28"/>
      <c r="H39" s="28"/>
      <c r="I39" s="28"/>
      <c r="J39" s="29"/>
    </row>
    <row r="40" spans="6:10">
      <c r="F40" s="1">
        <f t="shared" si="0"/>
        <v>33</v>
      </c>
      <c r="G40" s="28"/>
      <c r="H40" s="28"/>
      <c r="I40" s="28"/>
      <c r="J40" s="29"/>
    </row>
    <row r="41" spans="6:10">
      <c r="F41" s="1">
        <f t="shared" si="0"/>
        <v>34</v>
      </c>
      <c r="G41" s="28"/>
      <c r="H41" s="28"/>
      <c r="I41" s="28"/>
      <c r="J41" s="29"/>
    </row>
    <row r="42" spans="6:10">
      <c r="F42" s="1">
        <f t="shared" si="0"/>
        <v>35</v>
      </c>
      <c r="G42" s="28"/>
      <c r="H42" s="28"/>
      <c r="I42" s="28"/>
      <c r="J42" s="29"/>
    </row>
    <row r="43" spans="6:10">
      <c r="F43" s="1">
        <f t="shared" si="0"/>
        <v>36</v>
      </c>
      <c r="G43" s="28"/>
      <c r="H43" s="28"/>
      <c r="I43" s="28"/>
      <c r="J43" s="29"/>
    </row>
    <row r="44" spans="6:10">
      <c r="F44" s="1">
        <f t="shared" si="0"/>
        <v>37</v>
      </c>
      <c r="G44" s="28"/>
      <c r="H44" s="28"/>
      <c r="I44" s="28"/>
      <c r="J44" s="29"/>
    </row>
    <row r="45" spans="6:10">
      <c r="F45" s="1">
        <f t="shared" si="0"/>
        <v>38</v>
      </c>
      <c r="G45" s="28"/>
      <c r="H45" s="28"/>
      <c r="I45" s="28"/>
      <c r="J45" s="29"/>
    </row>
    <row r="46" spans="6:10">
      <c r="F46" s="1">
        <f t="shared" si="0"/>
        <v>39</v>
      </c>
      <c r="G46" s="28"/>
      <c r="H46" s="28"/>
      <c r="I46" s="28"/>
      <c r="J46" s="29"/>
    </row>
    <row r="47" spans="6:10">
      <c r="F47" s="1">
        <f t="shared" si="0"/>
        <v>40</v>
      </c>
      <c r="G47" s="28"/>
      <c r="H47" s="28"/>
      <c r="I47" s="28"/>
      <c r="J47" s="29"/>
    </row>
    <row r="48" spans="6:10">
      <c r="F48" s="1">
        <f t="shared" si="0"/>
        <v>41</v>
      </c>
      <c r="G48" s="28"/>
      <c r="H48" s="28"/>
      <c r="I48" s="28"/>
      <c r="J48" s="29"/>
    </row>
    <row r="49" spans="6:10">
      <c r="F49" s="1">
        <f t="shared" si="0"/>
        <v>42</v>
      </c>
      <c r="G49" s="28"/>
      <c r="H49" s="28"/>
      <c r="I49" s="28"/>
      <c r="J49" s="29"/>
    </row>
    <row r="50" spans="6:10">
      <c r="F50" s="1">
        <f t="shared" si="0"/>
        <v>43</v>
      </c>
      <c r="G50" s="28"/>
      <c r="H50" s="28"/>
      <c r="I50" s="28"/>
      <c r="J50" s="29"/>
    </row>
    <row r="51" spans="6:10">
      <c r="F51" s="1">
        <f t="shared" si="0"/>
        <v>44</v>
      </c>
      <c r="G51" s="28"/>
      <c r="H51" s="28"/>
      <c r="I51" s="28"/>
      <c r="J51" s="29"/>
    </row>
    <row r="52" spans="6:10">
      <c r="F52" s="1">
        <f t="shared" si="0"/>
        <v>45</v>
      </c>
      <c r="G52" s="28"/>
      <c r="H52" s="28"/>
      <c r="I52" s="28"/>
      <c r="J52" s="29"/>
    </row>
    <row r="53" spans="6:10">
      <c r="F53" s="1">
        <f t="shared" si="0"/>
        <v>46</v>
      </c>
      <c r="G53" s="28"/>
      <c r="H53" s="28"/>
      <c r="I53" s="28"/>
      <c r="J53" s="29"/>
    </row>
    <row r="54" spans="6:10">
      <c r="F54" s="1">
        <f t="shared" si="0"/>
        <v>47</v>
      </c>
      <c r="G54" s="28"/>
      <c r="H54" s="28"/>
      <c r="I54" s="28"/>
      <c r="J54" s="29"/>
    </row>
    <row r="55" spans="6:10">
      <c r="F55" s="1">
        <f t="shared" si="0"/>
        <v>48</v>
      </c>
      <c r="G55" s="28"/>
      <c r="H55" s="28"/>
      <c r="I55" s="28"/>
      <c r="J55" s="29"/>
    </row>
    <row r="56" spans="6:10">
      <c r="F56" s="1">
        <f t="shared" si="0"/>
        <v>49</v>
      </c>
      <c r="G56" s="28"/>
      <c r="H56" s="28"/>
      <c r="I56" s="28"/>
      <c r="J56" s="29"/>
    </row>
    <row r="57" spans="6:10">
      <c r="F57" s="1">
        <f t="shared" si="0"/>
        <v>50</v>
      </c>
      <c r="G57" s="28"/>
      <c r="H57" s="28"/>
      <c r="I57" s="28"/>
      <c r="J57" s="29"/>
    </row>
    <row r="58" spans="6:10">
      <c r="F58" s="1">
        <f t="shared" si="0"/>
        <v>51</v>
      </c>
      <c r="G58" s="28"/>
      <c r="H58" s="28"/>
      <c r="I58" s="28"/>
      <c r="J58" s="29"/>
    </row>
    <row r="59" spans="6:10">
      <c r="F59" s="1">
        <f t="shared" si="0"/>
        <v>52</v>
      </c>
      <c r="G59" s="28"/>
      <c r="H59" s="28"/>
      <c r="I59" s="28"/>
      <c r="J59" s="29"/>
    </row>
    <row r="60" spans="6:10">
      <c r="F60" s="1">
        <f t="shared" si="0"/>
        <v>53</v>
      </c>
      <c r="G60" s="28"/>
      <c r="H60" s="28"/>
      <c r="I60" s="28"/>
      <c r="J60" s="29"/>
    </row>
    <row r="61" spans="6:10">
      <c r="F61" s="1">
        <f t="shared" si="0"/>
        <v>54</v>
      </c>
      <c r="G61" s="28"/>
      <c r="H61" s="28"/>
      <c r="I61" s="28"/>
      <c r="J61" s="29"/>
    </row>
    <row r="62" spans="6:10">
      <c r="F62" s="1">
        <f t="shared" si="0"/>
        <v>55</v>
      </c>
      <c r="G62" s="28"/>
      <c r="H62" s="28"/>
      <c r="I62" s="28"/>
      <c r="J62" s="29"/>
    </row>
    <row r="63" spans="6:10">
      <c r="F63" s="1">
        <f t="shared" si="0"/>
        <v>56</v>
      </c>
      <c r="G63" s="28"/>
      <c r="H63" s="28"/>
      <c r="I63" s="28"/>
      <c r="J63" s="29"/>
    </row>
    <row r="64" spans="6:10">
      <c r="F64" s="1">
        <f t="shared" si="0"/>
        <v>57</v>
      </c>
      <c r="G64" s="28"/>
      <c r="H64" s="28"/>
      <c r="I64" s="28"/>
      <c r="J64" s="29"/>
    </row>
    <row r="65" spans="6:10">
      <c r="F65" s="1">
        <f t="shared" si="0"/>
        <v>58</v>
      </c>
      <c r="G65" s="28"/>
      <c r="H65" s="28"/>
      <c r="I65" s="28"/>
      <c r="J65" s="29"/>
    </row>
    <row r="66" spans="6:10">
      <c r="F66" s="1">
        <f t="shared" si="0"/>
        <v>59</v>
      </c>
      <c r="G66" s="28"/>
      <c r="H66" s="28"/>
      <c r="I66" s="28"/>
      <c r="J66" s="29"/>
    </row>
    <row r="67" spans="6:10">
      <c r="F67" s="1">
        <f t="shared" si="0"/>
        <v>60</v>
      </c>
      <c r="G67" s="28"/>
      <c r="H67" s="28"/>
      <c r="I67" s="28"/>
      <c r="J67" s="29"/>
    </row>
    <row r="68" spans="6:10">
      <c r="F68" s="1">
        <f t="shared" si="0"/>
        <v>61</v>
      </c>
      <c r="G68" s="28"/>
      <c r="H68" s="28"/>
      <c r="I68" s="28"/>
      <c r="J68" s="29"/>
    </row>
    <row r="69" spans="6:10">
      <c r="F69" s="1">
        <f t="shared" si="0"/>
        <v>62</v>
      </c>
      <c r="G69" s="28"/>
      <c r="H69" s="28"/>
      <c r="I69" s="28"/>
      <c r="J69" s="29"/>
    </row>
    <row r="70" spans="6:10">
      <c r="F70" s="1">
        <f t="shared" si="0"/>
        <v>63</v>
      </c>
      <c r="G70" s="28"/>
      <c r="H70" s="28"/>
      <c r="I70" s="28"/>
      <c r="J70" s="29"/>
    </row>
    <row r="71" spans="6:10">
      <c r="F71" s="1">
        <f t="shared" si="0"/>
        <v>64</v>
      </c>
      <c r="G71" s="28"/>
      <c r="H71" s="28"/>
      <c r="I71" s="28"/>
      <c r="J71" s="29"/>
    </row>
    <row r="72" spans="6:10">
      <c r="F72" s="1">
        <f t="shared" si="0"/>
        <v>65</v>
      </c>
      <c r="G72" s="28"/>
      <c r="H72" s="28"/>
      <c r="I72" s="28"/>
      <c r="J72" s="29"/>
    </row>
    <row r="73" spans="6:10">
      <c r="F73" s="1">
        <f t="shared" ref="F73:F99" si="1">F72+1</f>
        <v>66</v>
      </c>
      <c r="G73" s="28"/>
      <c r="H73" s="28"/>
      <c r="I73" s="28"/>
      <c r="J73" s="29"/>
    </row>
    <row r="74" spans="6:10">
      <c r="F74" s="1">
        <f t="shared" si="1"/>
        <v>67</v>
      </c>
      <c r="G74" s="28"/>
      <c r="H74" s="28"/>
      <c r="I74" s="28"/>
      <c r="J74" s="29"/>
    </row>
    <row r="75" spans="6:10">
      <c r="F75" s="1">
        <f t="shared" si="1"/>
        <v>68</v>
      </c>
      <c r="G75" s="28"/>
      <c r="H75" s="28"/>
      <c r="I75" s="28"/>
      <c r="J75" s="29"/>
    </row>
    <row r="76" spans="6:10">
      <c r="F76" s="1">
        <f t="shared" si="1"/>
        <v>69</v>
      </c>
      <c r="G76" s="28"/>
      <c r="H76" s="28"/>
      <c r="I76" s="28"/>
      <c r="J76" s="29"/>
    </row>
    <row r="77" spans="6:10">
      <c r="F77" s="1">
        <f t="shared" si="1"/>
        <v>70</v>
      </c>
      <c r="G77" s="28"/>
      <c r="H77" s="28"/>
      <c r="I77" s="28"/>
      <c r="J77" s="29"/>
    </row>
    <row r="78" spans="6:10">
      <c r="F78" s="1">
        <f t="shared" si="1"/>
        <v>71</v>
      </c>
      <c r="G78" s="28"/>
      <c r="H78" s="28"/>
      <c r="I78" s="28"/>
      <c r="J78" s="29"/>
    </row>
    <row r="79" spans="6:10">
      <c r="F79" s="1">
        <f t="shared" si="1"/>
        <v>72</v>
      </c>
      <c r="G79" s="28"/>
      <c r="H79" s="28"/>
      <c r="I79" s="28"/>
      <c r="J79" s="29"/>
    </row>
    <row r="80" spans="6:10">
      <c r="F80" s="1">
        <f t="shared" si="1"/>
        <v>73</v>
      </c>
      <c r="G80" s="28"/>
      <c r="H80" s="28"/>
      <c r="I80" s="28"/>
      <c r="J80" s="29"/>
    </row>
    <row r="81" spans="6:10">
      <c r="F81" s="1">
        <f t="shared" si="1"/>
        <v>74</v>
      </c>
      <c r="G81" s="28"/>
      <c r="H81" s="28"/>
      <c r="I81" s="28"/>
      <c r="J81" s="29"/>
    </row>
    <row r="82" spans="6:10">
      <c r="F82" s="1">
        <f t="shared" si="1"/>
        <v>75</v>
      </c>
      <c r="G82" s="28"/>
      <c r="H82" s="28"/>
      <c r="I82" s="28"/>
      <c r="J82" s="29"/>
    </row>
    <row r="83" spans="6:10">
      <c r="F83" s="1">
        <f t="shared" si="1"/>
        <v>76</v>
      </c>
      <c r="G83" s="28"/>
      <c r="H83" s="28"/>
      <c r="I83" s="28"/>
      <c r="J83" s="29"/>
    </row>
    <row r="84" spans="6:10">
      <c r="F84" s="1">
        <f t="shared" si="1"/>
        <v>77</v>
      </c>
      <c r="G84" s="28"/>
      <c r="H84" s="28"/>
      <c r="I84" s="28"/>
      <c r="J84" s="29"/>
    </row>
    <row r="85" spans="6:10">
      <c r="F85" s="1">
        <f t="shared" si="1"/>
        <v>78</v>
      </c>
      <c r="G85" s="28"/>
      <c r="H85" s="28"/>
      <c r="I85" s="28"/>
      <c r="J85" s="29"/>
    </row>
    <row r="86" spans="6:10">
      <c r="F86" s="1">
        <f t="shared" si="1"/>
        <v>79</v>
      </c>
      <c r="G86" s="28"/>
      <c r="H86" s="28"/>
      <c r="I86" s="28"/>
      <c r="J86" s="29"/>
    </row>
    <row r="87" spans="6:10">
      <c r="F87" s="1">
        <f t="shared" si="1"/>
        <v>80</v>
      </c>
      <c r="G87" s="28"/>
      <c r="H87" s="28"/>
      <c r="I87" s="28"/>
      <c r="J87" s="29"/>
    </row>
    <row r="88" spans="6:10">
      <c r="F88" s="1">
        <f t="shared" si="1"/>
        <v>81</v>
      </c>
      <c r="G88" s="28"/>
      <c r="H88" s="28"/>
      <c r="I88" s="28"/>
      <c r="J88" s="29"/>
    </row>
    <row r="89" spans="6:10">
      <c r="F89" s="1">
        <f t="shared" si="1"/>
        <v>82</v>
      </c>
      <c r="G89" s="28"/>
      <c r="H89" s="28"/>
      <c r="I89" s="28"/>
      <c r="J89" s="29"/>
    </row>
    <row r="90" spans="6:10">
      <c r="F90" s="1">
        <f t="shared" si="1"/>
        <v>83</v>
      </c>
      <c r="G90" s="28"/>
      <c r="H90" s="28"/>
      <c r="I90" s="28"/>
      <c r="J90" s="29"/>
    </row>
    <row r="91" spans="6:10">
      <c r="F91" s="1">
        <f t="shared" si="1"/>
        <v>84</v>
      </c>
      <c r="G91" s="28"/>
      <c r="H91" s="28"/>
      <c r="I91" s="28"/>
      <c r="J91" s="29"/>
    </row>
    <row r="92" spans="6:10">
      <c r="F92" s="1">
        <f t="shared" si="1"/>
        <v>85</v>
      </c>
      <c r="G92" s="28"/>
      <c r="H92" s="28"/>
      <c r="I92" s="28"/>
      <c r="J92" s="29"/>
    </row>
    <row r="93" spans="6:10">
      <c r="F93" s="1">
        <f t="shared" si="1"/>
        <v>86</v>
      </c>
      <c r="G93" s="28"/>
      <c r="H93" s="28"/>
      <c r="I93" s="28"/>
      <c r="J93" s="29"/>
    </row>
    <row r="94" spans="6:10">
      <c r="F94" s="1">
        <f t="shared" si="1"/>
        <v>87</v>
      </c>
      <c r="G94" s="28"/>
      <c r="H94" s="28"/>
      <c r="I94" s="28"/>
      <c r="J94" s="29"/>
    </row>
    <row r="95" spans="6:10">
      <c r="F95" s="1">
        <f t="shared" si="1"/>
        <v>88</v>
      </c>
      <c r="G95" s="28"/>
      <c r="H95" s="28"/>
      <c r="I95" s="28"/>
      <c r="J95" s="29"/>
    </row>
    <row r="96" spans="6:10">
      <c r="F96" s="1">
        <f t="shared" si="1"/>
        <v>89</v>
      </c>
      <c r="G96" s="28"/>
      <c r="H96" s="28"/>
      <c r="I96" s="28"/>
      <c r="J96" s="29"/>
    </row>
    <row r="97" spans="6:10">
      <c r="F97" s="1">
        <f t="shared" si="1"/>
        <v>90</v>
      </c>
      <c r="G97" s="28"/>
      <c r="H97" s="28"/>
      <c r="I97" s="28"/>
      <c r="J97" s="29"/>
    </row>
    <row r="98" spans="6:10">
      <c r="F98" s="1">
        <f t="shared" si="1"/>
        <v>91</v>
      </c>
      <c r="G98" s="28"/>
      <c r="H98" s="28"/>
      <c r="I98" s="28"/>
      <c r="J98" s="29"/>
    </row>
    <row r="99" spans="6:10">
      <c r="F99" s="1">
        <f t="shared" si="1"/>
        <v>92</v>
      </c>
      <c r="G99" s="28"/>
      <c r="H99" s="28"/>
      <c r="I99" s="28"/>
      <c r="J99" s="29"/>
    </row>
    <row r="100" spans="6:10">
      <c r="F100" s="1">
        <f>F99+1</f>
        <v>93</v>
      </c>
      <c r="G100" s="28"/>
      <c r="H100" s="28"/>
      <c r="I100" s="28"/>
      <c r="J100" s="29"/>
    </row>
    <row r="101" spans="6:10">
      <c r="F101" s="1">
        <f t="shared" ref="F101:F104" si="2">F100+1</f>
        <v>94</v>
      </c>
      <c r="G101" s="28"/>
      <c r="H101" s="28"/>
      <c r="I101" s="28"/>
      <c r="J101" s="29"/>
    </row>
    <row r="102" spans="6:10">
      <c r="F102" s="1">
        <f t="shared" si="2"/>
        <v>95</v>
      </c>
      <c r="G102" s="28"/>
      <c r="H102" s="28"/>
      <c r="I102" s="28"/>
      <c r="J102" s="29"/>
    </row>
    <row r="103" spans="6:10">
      <c r="F103" s="1">
        <f t="shared" si="2"/>
        <v>96</v>
      </c>
      <c r="G103" s="28"/>
      <c r="H103" s="28"/>
      <c r="I103" s="28"/>
      <c r="J103" s="29"/>
    </row>
    <row r="104" spans="6:10">
      <c r="F104" s="1">
        <f t="shared" si="2"/>
        <v>97</v>
      </c>
      <c r="G104" s="28"/>
      <c r="H104" s="28"/>
      <c r="I104" s="28"/>
      <c r="J104" s="29"/>
    </row>
    <row r="105" spans="6:10">
      <c r="F105" s="1">
        <f>F104+1</f>
        <v>98</v>
      </c>
      <c r="G105" s="28"/>
      <c r="H105" s="28"/>
      <c r="I105" s="28"/>
      <c r="J105" s="29"/>
    </row>
    <row r="106" spans="6:10">
      <c r="F106" s="1">
        <f t="shared" ref="F106" si="3">F105+1</f>
        <v>99</v>
      </c>
      <c r="G106" s="28"/>
      <c r="H106" s="28"/>
      <c r="I106" s="28"/>
      <c r="J106" s="29"/>
    </row>
    <row r="107" spans="6:10" ht="18.5" thickBot="1">
      <c r="F107" s="2">
        <f>F106+1</f>
        <v>100</v>
      </c>
      <c r="G107" s="30"/>
      <c r="H107" s="30"/>
      <c r="I107" s="30"/>
      <c r="J107" s="25"/>
    </row>
    <row r="108" spans="6:10" ht="18.5" thickTop="1"/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CDA3E-08CE-444C-8FA5-189C57525AE3}">
  <dimension ref="B2:D12"/>
  <sheetViews>
    <sheetView showGridLines="0" workbookViewId="0"/>
  </sheetViews>
  <sheetFormatPr defaultRowHeight="18"/>
  <cols>
    <col min="2" max="2" width="12.33203125" bestFit="1" customWidth="1"/>
    <col min="3" max="3" width="21.58203125" customWidth="1"/>
  </cols>
  <sheetData>
    <row r="2" spans="2:4">
      <c r="B2" t="s">
        <v>27</v>
      </c>
    </row>
    <row r="3" spans="2:4">
      <c r="B3" t="s">
        <v>28</v>
      </c>
    </row>
    <row r="4" spans="2:4">
      <c r="B4" t="s">
        <v>29</v>
      </c>
    </row>
    <row r="5" spans="2:4" ht="18.5" thickBot="1"/>
    <row r="6" spans="2:4" ht="19" thickTop="1" thickBot="1">
      <c r="B6" s="7" t="s">
        <v>2</v>
      </c>
      <c r="C6" s="8" t="s">
        <v>4</v>
      </c>
      <c r="D6" s="9" t="s">
        <v>5</v>
      </c>
    </row>
    <row r="7" spans="2:4" ht="18.5" thickTop="1">
      <c r="B7" s="5" t="s">
        <v>0</v>
      </c>
      <c r="C7" s="6" t="s">
        <v>30</v>
      </c>
      <c r="D7" s="10">
        <f>2/1000</f>
        <v>2E-3</v>
      </c>
    </row>
    <row r="8" spans="2:4" ht="18.5" thickBot="1">
      <c r="B8" s="2" t="s">
        <v>1</v>
      </c>
      <c r="C8" s="3" t="s">
        <v>31</v>
      </c>
      <c r="D8" s="12">
        <v>3500</v>
      </c>
    </row>
    <row r="9" spans="2:4" ht="19" thickTop="1" thickBot="1"/>
    <row r="10" spans="2:4" ht="18.5" thickTop="1">
      <c r="C10" s="31" t="s">
        <v>25</v>
      </c>
      <c r="D10" s="34">
        <f>D8*D7</f>
        <v>7</v>
      </c>
    </row>
    <row r="11" spans="2:4" ht="18.5" thickBot="1">
      <c r="C11" s="2" t="s">
        <v>26</v>
      </c>
      <c r="D11" s="12">
        <f>D8*D7</f>
        <v>7</v>
      </c>
    </row>
    <row r="12" spans="2:4" ht="18.5" thickTop="1"/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D29DB-D959-4A78-8184-167CCE2A3B07}">
  <dimension ref="B2:D12"/>
  <sheetViews>
    <sheetView showGridLines="0" tabSelected="1" workbookViewId="0"/>
  </sheetViews>
  <sheetFormatPr defaultRowHeight="18"/>
  <cols>
    <col min="2" max="2" width="12.33203125" bestFit="1" customWidth="1"/>
    <col min="3" max="3" width="21.58203125" customWidth="1"/>
  </cols>
  <sheetData>
    <row r="2" spans="2:4">
      <c r="B2" t="s">
        <v>27</v>
      </c>
    </row>
    <row r="3" spans="2:4">
      <c r="B3" t="s">
        <v>28</v>
      </c>
    </row>
    <row r="4" spans="2:4">
      <c r="B4" t="s">
        <v>29</v>
      </c>
    </row>
    <row r="5" spans="2:4" ht="18.5" thickBot="1"/>
    <row r="6" spans="2:4" ht="19" thickTop="1" thickBot="1">
      <c r="B6" s="7" t="s">
        <v>2</v>
      </c>
      <c r="C6" s="8" t="s">
        <v>4</v>
      </c>
      <c r="D6" s="9" t="s">
        <v>5</v>
      </c>
    </row>
    <row r="7" spans="2:4" ht="18.5" thickTop="1">
      <c r="B7" s="5" t="s">
        <v>0</v>
      </c>
      <c r="C7" s="6" t="s">
        <v>30</v>
      </c>
      <c r="D7" s="24"/>
    </row>
    <row r="8" spans="2:4" ht="18.5" thickBot="1">
      <c r="B8" s="2" t="s">
        <v>1</v>
      </c>
      <c r="C8" s="3" t="s">
        <v>31</v>
      </c>
      <c r="D8" s="25"/>
    </row>
    <row r="9" spans="2:4" ht="19" thickTop="1" thickBot="1"/>
    <row r="10" spans="2:4" ht="18.5" thickTop="1">
      <c r="C10" s="31" t="s">
        <v>25</v>
      </c>
      <c r="D10" s="35"/>
    </row>
    <row r="11" spans="2:4" ht="18.5" thickBot="1">
      <c r="C11" s="2" t="s">
        <v>26</v>
      </c>
      <c r="D11" s="25"/>
    </row>
    <row r="12" spans="2:4" ht="18.5" thickTop="1"/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解答_打率の事例_応用</vt:lpstr>
      <vt:lpstr>打率の事例_応用</vt:lpstr>
      <vt:lpstr>解答_ガチャの事例</vt:lpstr>
      <vt:lpstr>ガチャの事例</vt:lpstr>
      <vt:lpstr>解答_不良品の事例</vt:lpstr>
      <vt:lpstr>不良品の事例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Ikegawa</dc:creator>
  <cp:lastModifiedBy>津村幸治</cp:lastModifiedBy>
  <dcterms:created xsi:type="dcterms:W3CDTF">2025-09-02T08:09:35Z</dcterms:created>
  <dcterms:modified xsi:type="dcterms:W3CDTF">2026-09-14T13:28:51Z</dcterms:modified>
</cp:coreProperties>
</file>