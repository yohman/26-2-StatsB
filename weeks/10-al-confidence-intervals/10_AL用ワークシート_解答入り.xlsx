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EAD25743-2D1A-4DE7-AF86-45E01A319C7F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解答_テストの得点" sheetId="16" r:id="rId1"/>
    <sheet name="テストの得点" sheetId="17" r:id="rId2"/>
    <sheet name="解答_ネジの長さ" sheetId="14" r:id="rId3"/>
    <sheet name="ネジの長さ" sheetId="15" r:id="rId4"/>
    <sheet name="解答_バッテリーの寿命" sheetId="18" r:id="rId5"/>
    <sheet name="バッテリーの寿命" sheetId="19" r:id="rId6"/>
    <sheet name="解答_トマトの重量" sheetId="20" r:id="rId7"/>
    <sheet name="トマトの重量" sheetId="21" r:id="rId8"/>
    <sheet name="標準正規分布表" sheetId="10" r:id="rId9"/>
    <sheet name="t分布表" sheetId="11" r:id="rId10"/>
    <sheet name="カイ二乗分布表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1" l="1"/>
  <c r="C10" i="21" s="1"/>
  <c r="C11" i="21" s="1"/>
  <c r="C12" i="21" s="1"/>
  <c r="C13" i="21" s="1"/>
  <c r="C14" i="21" s="1"/>
  <c r="C8" i="21"/>
  <c r="J19" i="20"/>
  <c r="J18" i="20"/>
  <c r="J17" i="20"/>
  <c r="J16" i="20"/>
  <c r="K15" i="20"/>
  <c r="K14" i="20"/>
  <c r="J13" i="20"/>
  <c r="J12" i="20"/>
  <c r="K11" i="20"/>
  <c r="K10" i="20"/>
  <c r="J10" i="20"/>
  <c r="J9" i="20"/>
  <c r="J8" i="20"/>
  <c r="F14" i="20"/>
  <c r="F13" i="20"/>
  <c r="F12" i="20"/>
  <c r="F11" i="20"/>
  <c r="F10" i="20"/>
  <c r="F9" i="20"/>
  <c r="F8" i="20"/>
  <c r="F7" i="20"/>
  <c r="E14" i="20"/>
  <c r="E13" i="20"/>
  <c r="E12" i="20"/>
  <c r="E11" i="20"/>
  <c r="E10" i="20"/>
  <c r="E9" i="20"/>
  <c r="E8" i="20"/>
  <c r="E7" i="20"/>
  <c r="J7" i="20"/>
  <c r="C9" i="20"/>
  <c r="C10" i="20" s="1"/>
  <c r="C11" i="20" s="1"/>
  <c r="C12" i="20" s="1"/>
  <c r="C13" i="20" s="1"/>
  <c r="C14" i="20" s="1"/>
  <c r="C8" i="20"/>
  <c r="E12" i="18"/>
  <c r="E11" i="18"/>
  <c r="F10" i="18"/>
  <c r="F9" i="18"/>
  <c r="E7" i="18" l="1"/>
  <c r="E8" i="18" s="1"/>
  <c r="C7" i="17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J14" i="16"/>
  <c r="J13" i="16"/>
  <c r="J12" i="16"/>
  <c r="J11" i="16"/>
  <c r="K9" i="16"/>
  <c r="J8" i="16"/>
  <c r="J6" i="16"/>
  <c r="E14" i="16" s="1"/>
  <c r="F14" i="16" s="1"/>
  <c r="C7" i="16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E13" i="14"/>
  <c r="E12" i="14"/>
  <c r="E11" i="14"/>
  <c r="E7" i="16" l="1"/>
  <c r="F7" i="16" s="1"/>
  <c r="E15" i="16"/>
  <c r="F15" i="16" s="1"/>
  <c r="E8" i="16"/>
  <c r="F8" i="16" s="1"/>
  <c r="E16" i="16"/>
  <c r="F16" i="16" s="1"/>
  <c r="E9" i="16"/>
  <c r="F9" i="16" s="1"/>
  <c r="E17" i="16"/>
  <c r="F17" i="16" s="1"/>
  <c r="E10" i="16"/>
  <c r="F10" i="16" s="1"/>
  <c r="E12" i="16"/>
  <c r="F12" i="16" s="1"/>
  <c r="E13" i="16"/>
  <c r="F13" i="16" s="1"/>
  <c r="E11" i="16"/>
  <c r="F11" i="16" s="1"/>
  <c r="E6" i="16"/>
  <c r="F6" i="16" s="1"/>
  <c r="E10" i="14"/>
  <c r="J7" i="16" l="1"/>
  <c r="J9" i="16" s="1"/>
  <c r="L46" i="13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J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M41" i="10" l="1"/>
  <c r="L41" i="10"/>
  <c r="K41" i="10"/>
  <c r="J41" i="10"/>
  <c r="I41" i="10"/>
  <c r="H41" i="10"/>
  <c r="G41" i="10"/>
  <c r="F41" i="10"/>
  <c r="E41" i="10"/>
  <c r="D41" i="10"/>
  <c r="M40" i="10"/>
  <c r="L40" i="10"/>
  <c r="K40" i="10"/>
  <c r="J40" i="10"/>
  <c r="I40" i="10"/>
  <c r="H40" i="10"/>
  <c r="G40" i="10"/>
  <c r="F40" i="10"/>
  <c r="E40" i="10"/>
  <c r="D40" i="10"/>
  <c r="M39" i="10"/>
  <c r="L39" i="10"/>
  <c r="K39" i="10"/>
  <c r="J39" i="10"/>
  <c r="I39" i="10"/>
  <c r="H39" i="10"/>
  <c r="G39" i="10"/>
  <c r="F39" i="10"/>
  <c r="E39" i="10"/>
  <c r="D39" i="10"/>
  <c r="M38" i="10"/>
  <c r="L38" i="10"/>
  <c r="K38" i="10"/>
  <c r="J38" i="10"/>
  <c r="I38" i="10"/>
  <c r="H38" i="10"/>
  <c r="G38" i="10"/>
  <c r="F38" i="10"/>
  <c r="E38" i="10"/>
  <c r="D38" i="10"/>
  <c r="M37" i="10"/>
  <c r="L37" i="10"/>
  <c r="K37" i="10"/>
  <c r="J37" i="10"/>
  <c r="I37" i="10"/>
  <c r="H37" i="10"/>
  <c r="G37" i="10"/>
  <c r="F37" i="10"/>
  <c r="E37" i="10"/>
  <c r="D37" i="10"/>
  <c r="M35" i="10"/>
  <c r="L35" i="10"/>
  <c r="K35" i="10"/>
  <c r="J35" i="10"/>
  <c r="I35" i="10"/>
  <c r="H35" i="10"/>
  <c r="G35" i="10"/>
  <c r="F35" i="10"/>
  <c r="E35" i="10"/>
  <c r="D35" i="10"/>
  <c r="M34" i="10"/>
  <c r="L34" i="10"/>
  <c r="K34" i="10"/>
  <c r="J34" i="10"/>
  <c r="I34" i="10"/>
  <c r="H34" i="10"/>
  <c r="G34" i="10"/>
  <c r="F34" i="10"/>
  <c r="E34" i="10"/>
  <c r="D34" i="10"/>
  <c r="M33" i="10"/>
  <c r="L33" i="10"/>
  <c r="K33" i="10"/>
  <c r="J33" i="10"/>
  <c r="I33" i="10"/>
  <c r="H33" i="10"/>
  <c r="G33" i="10"/>
  <c r="F33" i="10"/>
  <c r="E33" i="10"/>
  <c r="D33" i="10"/>
  <c r="M32" i="10"/>
  <c r="L32" i="10"/>
  <c r="K32" i="10"/>
  <c r="J32" i="10"/>
  <c r="I32" i="10"/>
  <c r="H32" i="10"/>
  <c r="G32" i="10"/>
  <c r="F32" i="10"/>
  <c r="E32" i="10"/>
  <c r="D32" i="10"/>
  <c r="M31" i="10"/>
  <c r="L31" i="10"/>
  <c r="K31" i="10"/>
  <c r="J31" i="10"/>
  <c r="I31" i="10"/>
  <c r="H31" i="10"/>
  <c r="G31" i="10"/>
  <c r="F31" i="10"/>
  <c r="E31" i="10"/>
  <c r="D31" i="10"/>
  <c r="M29" i="10"/>
  <c r="L29" i="10"/>
  <c r="K29" i="10"/>
  <c r="J29" i="10"/>
  <c r="I29" i="10"/>
  <c r="H29" i="10"/>
  <c r="G29" i="10"/>
  <c r="F29" i="10"/>
  <c r="E29" i="10"/>
  <c r="D29" i="10"/>
  <c r="M28" i="10"/>
  <c r="L28" i="10"/>
  <c r="K28" i="10"/>
  <c r="J28" i="10"/>
  <c r="I28" i="10"/>
  <c r="H28" i="10"/>
  <c r="G28" i="10"/>
  <c r="F28" i="10"/>
  <c r="E28" i="10"/>
  <c r="D28" i="10"/>
  <c r="M27" i="10"/>
  <c r="L27" i="10"/>
  <c r="K27" i="10"/>
  <c r="J27" i="10"/>
  <c r="I27" i="10"/>
  <c r="H27" i="10"/>
  <c r="G27" i="10"/>
  <c r="F27" i="10"/>
  <c r="E27" i="10"/>
  <c r="D27" i="10"/>
  <c r="M26" i="10"/>
  <c r="L26" i="10"/>
  <c r="K26" i="10"/>
  <c r="J26" i="10"/>
  <c r="I26" i="10"/>
  <c r="H26" i="10"/>
  <c r="G26" i="10"/>
  <c r="F26" i="10"/>
  <c r="E26" i="10"/>
  <c r="D26" i="10"/>
  <c r="M25" i="10"/>
  <c r="L25" i="10"/>
  <c r="K25" i="10"/>
  <c r="J25" i="10"/>
  <c r="I25" i="10"/>
  <c r="H25" i="10"/>
  <c r="G25" i="10"/>
  <c r="F25" i="10"/>
  <c r="E25" i="10"/>
  <c r="D25" i="10"/>
  <c r="M23" i="10"/>
  <c r="L23" i="10"/>
  <c r="K23" i="10"/>
  <c r="J23" i="10"/>
  <c r="I23" i="10"/>
  <c r="H23" i="10"/>
  <c r="G23" i="10"/>
  <c r="F23" i="10"/>
  <c r="E23" i="10"/>
  <c r="D23" i="10"/>
  <c r="M22" i="10"/>
  <c r="L22" i="10"/>
  <c r="K22" i="10"/>
  <c r="J22" i="10"/>
  <c r="I22" i="10"/>
  <c r="H22" i="10"/>
  <c r="G22" i="10"/>
  <c r="F22" i="10"/>
  <c r="E22" i="10"/>
  <c r="D22" i="10"/>
  <c r="M21" i="10"/>
  <c r="L21" i="10"/>
  <c r="K21" i="10"/>
  <c r="J21" i="10"/>
  <c r="I21" i="10"/>
  <c r="H21" i="10"/>
  <c r="G21" i="10"/>
  <c r="F21" i="10"/>
  <c r="E21" i="10"/>
  <c r="D21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D15" i="10"/>
  <c r="M14" i="10"/>
  <c r="L14" i="10"/>
  <c r="K14" i="10"/>
  <c r="J14" i="10"/>
  <c r="I14" i="10"/>
  <c r="H14" i="10"/>
  <c r="G14" i="10"/>
  <c r="F14" i="10"/>
  <c r="E14" i="10"/>
  <c r="D14" i="10"/>
  <c r="M13" i="10"/>
  <c r="L13" i="10"/>
  <c r="K13" i="10"/>
  <c r="J13" i="10"/>
  <c r="I13" i="10"/>
  <c r="H13" i="10"/>
  <c r="G13" i="10"/>
  <c r="F13" i="10"/>
  <c r="E13" i="10"/>
  <c r="D13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<sst xmlns="http://schemas.openxmlformats.org/spreadsheetml/2006/main" count="187" uniqueCount="61">
  <si>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</si>
  <si>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</si>
  <si>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</si>
  <si>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</si>
  <si>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</si>
  <si>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</si>
  <si>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</si>
  <si>
    <r>
      <t>ある工場で製造されるネジの長さは正規分布に従い，母分散は既知でσ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=0.25である．</t>
    </r>
    <phoneticPr fontId="1"/>
  </si>
  <si>
    <t>10本を無作為抽出したところ，平均は5.12cmであった．</t>
    <phoneticPr fontId="1"/>
  </si>
  <si>
    <t>95%信頼区間における母平均の下限値と上限値を求めよ．</t>
    <phoneticPr fontId="1"/>
  </si>
  <si>
    <t>標本数</t>
    <rPh sb="0" eb="3">
      <t>ヒョウホンスウ</t>
    </rPh>
    <phoneticPr fontId="1"/>
  </si>
  <si>
    <t>n</t>
    <phoneticPr fontId="1"/>
  </si>
  <si>
    <t>標本平均</t>
    <rPh sb="0" eb="4">
      <t>ヒョウホンヘイキン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</si>
  <si>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phoneticPr fontId="1"/>
  </si>
  <si>
    <t>母分散</t>
    <rPh sb="0" eb="1">
      <t>ボ</t>
    </rPh>
    <rPh sb="1" eb="3">
      <t>ブンサン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</si>
  <si>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</si>
  <si>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母分散が</t>
    <rPh sb="0" eb="3">
      <t>ボブンサン</t>
    </rPh>
    <phoneticPr fontId="1"/>
  </si>
  <si>
    <t>のため</t>
    <phoneticPr fontId="1"/>
  </si>
  <si>
    <t>既知</t>
    <rPh sb="0" eb="2">
      <t>キチ</t>
    </rPh>
    <phoneticPr fontId="1"/>
  </si>
  <si>
    <t>分布を使う</t>
    <rPh sb="3" eb="4">
      <t>ツカ</t>
    </rPh>
    <phoneticPr fontId="1"/>
  </si>
  <si>
    <t>標準正規</t>
    <rPh sb="0" eb="2">
      <t>ヒョウジュン</t>
    </rPh>
    <rPh sb="2" eb="4">
      <t>セイキ</t>
    </rPh>
    <phoneticPr fontId="1"/>
  </si>
  <si>
    <t>パーセント点</t>
    <rPh sb="5" eb="6">
      <t>テン</t>
    </rPh>
    <phoneticPr fontId="1"/>
  </si>
  <si>
    <t>標準誤差</t>
    <rPh sb="0" eb="4">
      <t>ヒョウジュンゴサ</t>
    </rPh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</si>
  <si>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/n</t>
    </r>
    <phoneticPr fontId="1"/>
  </si>
  <si>
    <t>±の後の部分</t>
    <rPh sb="2" eb="3">
      <t>アト</t>
    </rPh>
    <rPh sb="4" eb="6">
      <t>ブブン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</si>
  <si>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</si>
  <si>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</si>
  <si>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ある学級の生徒12人のテスト得点は表の通りであった．</t>
    <phoneticPr fontId="1"/>
  </si>
  <si>
    <t>母平均の95%信頼区間を求めよ．</t>
    <phoneticPr fontId="1"/>
  </si>
  <si>
    <t>点数</t>
    <rPh sb="0" eb="2">
      <t>テンスウ</t>
    </rPh>
    <phoneticPr fontId="1"/>
  </si>
  <si>
    <t>学生ID</t>
    <rPh sb="0" eb="2">
      <t>ガクセイ</t>
    </rPh>
    <phoneticPr fontId="1"/>
  </si>
  <si>
    <t>標本不偏分散</t>
    <rPh sb="0" eb="6">
      <t>ヒョウホンフヘンブンサン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</si>
  <si>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r>
      <rPr>
        <vertAlign val="subscript"/>
        <sz val="11"/>
        <color theme="1"/>
        <rFont val="ＭＳ Ｐ明朝"/>
        <family val="1"/>
        <charset val="128"/>
      </rPr>
      <t>_hat</t>
    </r>
    <phoneticPr fontId="1"/>
  </si>
  <si>
    <t>t</t>
    <phoneticPr fontId="1"/>
  </si>
  <si>
    <t>偏差二乗和</t>
    <rPh sb="0" eb="5">
      <t>ヘンサジジョウワ</t>
    </rPh>
    <phoneticPr fontId="1"/>
  </si>
  <si>
    <r>
      <t>Σ</t>
    </r>
    <r>
      <rPr>
        <sz val="11"/>
        <color theme="1"/>
        <rFont val="Yu Gothic"/>
        <family val="1"/>
        <charset val="128"/>
      </rPr>
      <t>(X</t>
    </r>
    <r>
      <rPr>
        <vertAlign val="subscript"/>
        <sz val="11"/>
        <color theme="1"/>
        <rFont val="Yu Gothic"/>
        <family val="3"/>
        <charset val="128"/>
      </rPr>
      <t>i</t>
    </r>
    <r>
      <rPr>
        <sz val="11"/>
        <color theme="1"/>
        <rFont val="Yu Gothic"/>
        <family val="1"/>
        <charset val="128"/>
      </rPr>
      <t>-X</t>
    </r>
    <r>
      <rPr>
        <vertAlign val="subscript"/>
        <sz val="11"/>
        <color theme="1"/>
        <rFont val="Yu Gothic"/>
        <family val="3"/>
        <charset val="128"/>
      </rPr>
      <t>_bar</t>
    </r>
    <r>
      <rPr>
        <sz val="11"/>
        <color theme="1"/>
        <rFont val="Yu Gothic"/>
        <family val="1"/>
        <charset val="128"/>
      </rPr>
      <t>)</t>
    </r>
    <phoneticPr fontId="1"/>
  </si>
  <si>
    <t>偏差</t>
    <rPh sb="0" eb="2">
      <t>ヘンサ</t>
    </rPh>
    <phoneticPr fontId="1"/>
  </si>
  <si>
    <t>偏差二乗</t>
    <rPh sb="0" eb="4">
      <t>ヘンサジジョウ</t>
    </rPh>
    <phoneticPr fontId="1"/>
  </si>
  <si>
    <t>自由度</t>
    <rPh sb="0" eb="3">
      <t>ジユウド</t>
    </rPh>
    <phoneticPr fontId="1"/>
  </si>
  <si>
    <t>ν=n-1</t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</si>
  <si>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r>
      <rPr>
        <sz val="11"/>
        <color theme="1"/>
        <rFont val="Times New Roman"/>
        <family val="1"/>
      </rPr>
      <t>/n</t>
    </r>
    <phoneticPr fontId="1"/>
  </si>
  <si>
    <t>母分散の95%信頼区間を求めよ．</t>
    <phoneticPr fontId="1"/>
  </si>
  <si>
    <t>あるバッテリーの寿命について，標本20個を測定したところ標本不偏分散は36であった．</t>
    <phoneticPr fontId="1"/>
  </si>
  <si>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</si>
  <si>
    <t>2.5%点</t>
    <rPh sb="4" eb="5">
      <t>テン</t>
    </rPh>
    <phoneticPr fontId="1"/>
  </si>
  <si>
    <t>97.5%点</t>
    <rPh sb="5" eb="6">
      <t>テン</t>
    </rPh>
    <phoneticPr fontId="1"/>
  </si>
  <si>
    <r>
      <t>χ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0.975</t>
    </r>
    <r>
      <rPr>
        <sz val="11"/>
        <color theme="1"/>
        <rFont val="Times New Roman"/>
        <family val="1"/>
      </rPr>
      <t>(ν)</t>
    </r>
    <phoneticPr fontId="1"/>
  </si>
  <si>
    <r>
      <t>χ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0.025</t>
    </r>
    <r>
      <rPr>
        <sz val="11"/>
        <color theme="1"/>
        <rFont val="Times New Roman"/>
        <family val="1"/>
      </rPr>
      <t>(ν)</t>
    </r>
    <phoneticPr fontId="1"/>
  </si>
  <si>
    <r>
      <t>Σ(X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</si>
  <si>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r>
      <t>σ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_hat</t>
    </r>
    <phoneticPr fontId="1"/>
  </si>
  <si>
    <r>
      <t>Σ(X</t>
    </r>
    <r>
      <rPr>
        <vertAlign val="subscript"/>
        <sz val="11"/>
        <rFont val="Times New Roman"/>
        <family val="1"/>
      </rPr>
      <t>i</t>
    </r>
    <r>
      <rPr>
        <sz val="11"/>
        <rFont val="Times New Roman"/>
        <family val="1"/>
      </rPr>
      <t>-X</t>
    </r>
    <r>
      <rPr>
        <vertAlign val="subscript"/>
        <sz val="11"/>
        <rFont val="Times New Roman"/>
        <family val="1"/>
      </rPr>
      <t>_bar</t>
    </r>
    <r>
      <rPr>
        <sz val="11"/>
        <rFont val="Times New Roman"/>
        <family val="1"/>
      </rPr>
      <t>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</si>
  <si>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0.025</t>
    </r>
    <r>
      <rPr>
        <sz val="11"/>
        <rFont val="Times New Roman"/>
        <family val="1"/>
      </rPr>
      <t>(ν)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</si>
  <si>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0.975</t>
    </r>
    <r>
      <rPr>
        <sz val="11"/>
        <rFont val="Times New Roman"/>
        <family val="1"/>
      </rPr>
      <t>(ν)</t>
    </r>
    <phoneticPr fontId="1"/>
  </si>
  <si>
    <t>ある農家のトマト1箱の重量を8箱測定したところ，表の結果を得た．</t>
    <phoneticPr fontId="1"/>
  </si>
  <si>
    <t>母平均の99%信頼区間を求めよ．</t>
    <phoneticPr fontId="1"/>
  </si>
  <si>
    <t>重量</t>
    <rPh sb="0" eb="2">
      <t>ジュウリョウ</t>
    </rPh>
    <phoneticPr fontId="1"/>
  </si>
  <si>
    <t>箱 No.</t>
    <rPh sb="0" eb="1">
      <t>ハコ</t>
    </rPh>
    <phoneticPr fontId="1"/>
  </si>
  <si>
    <t>母平均の下限値</t>
    <rPh sb="0" eb="3">
      <t>ボヘイキン</t>
    </rPh>
    <rPh sb="4" eb="7">
      <t>カゲンチ</t>
    </rPh>
    <phoneticPr fontId="1"/>
  </si>
  <si>
    <t>母平均の上限値</t>
    <rPh sb="0" eb="3">
      <t>ボヘイキン</t>
    </rPh>
    <rPh sb="4" eb="7">
      <t>ジョウゲンチ</t>
    </rPh>
    <phoneticPr fontId="1"/>
  </si>
  <si>
    <t>母分散の下限値</t>
    <rPh sb="0" eb="3">
      <t>ボブンサン</t>
    </rPh>
    <rPh sb="4" eb="7">
      <t>カゲンチ</t>
    </rPh>
    <phoneticPr fontId="1"/>
  </si>
  <si>
    <t>母分散の上限値</t>
    <rPh sb="0" eb="3">
      <t>ボブンサン</t>
    </rPh>
    <rPh sb="4" eb="7">
      <t>ジョウゲンチ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</si>
</sst>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"/>
  </numFmts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1"/>
      <name val="Times New Roman"/>
      <family val="1"/>
      <charset val="161"/>
    </font>
    <font>
      <vertAlign val="superscript"/>
      <sz val="11"/>
      <color theme="1"/>
      <name val="ＭＳ Ｐ明朝"/>
      <family val="1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name val="游ゴシック"/>
      <family val="2"/>
      <charset val="128"/>
      <scheme val="minor"/>
    </font>
    <font>
      <vertAlign val="subscript"/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vertAlign val="subscript"/>
      <sz val="11"/>
      <color theme="1"/>
      <name val="Yu Gothic"/>
      <family val="3"/>
      <charset val="128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sz val="1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dott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3" xfId="0" applyNumberFormat="1" applyFont="1" applyFill="1" applyBorder="1" applyAlignment="1">
      <alignment horizontal="center" vertical="center"/>
    </xf>
    <xf numFmtId="179" fontId="3" fillId="0" borderId="4" xfId="0" applyNumberFormat="1" applyFont="1" applyBorder="1">
      <alignment vertical="center"/>
    </xf>
    <xf numFmtId="17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179" fontId="3" fillId="0" borderId="7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78" fontId="3" fillId="0" borderId="22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8" fontId="3" fillId="0" borderId="5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17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7" fillId="0" borderId="33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0" xfId="0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0" fontId="5" fillId="0" borderId="28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4" xfId="0" applyFont="1" applyBorder="1">
      <alignment vertical="center"/>
    </xf>
    <xf numFmtId="0" fontId="0" fillId="0" borderId="35" xfId="0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 applyAlignment="1">
      <alignment vertical="center" shrinkToFit="1"/>
    </xf>
    <xf numFmtId="0" fontId="2" fillId="0" borderId="39" xfId="0" applyFont="1" applyBorder="1" applyAlignment="1">
      <alignment horizontal="center" vertical="center"/>
    </xf>
    <xf numFmtId="0" fontId="5" fillId="0" borderId="40" xfId="0" applyFont="1" applyBorder="1">
      <alignment vertical="center"/>
    </xf>
    <xf numFmtId="0" fontId="11" fillId="0" borderId="36" xfId="0" applyFont="1" applyBorder="1" applyAlignment="1">
      <alignment horizontal="center" vertical="center"/>
    </xf>
    <xf numFmtId="0" fontId="5" fillId="0" borderId="37" xfId="0" applyFont="1" applyBorder="1">
      <alignment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3" fillId="0" borderId="28" xfId="0" applyFont="1" applyBorder="1">
      <alignment vertical="center"/>
    </xf>
    <xf numFmtId="0" fontId="13" fillId="0" borderId="31" xfId="0" applyFont="1" applyBorder="1">
      <alignment vertical="center"/>
    </xf>
    <xf numFmtId="0" fontId="13" fillId="0" borderId="34" xfId="0" applyFont="1" applyBorder="1">
      <alignment vertical="center"/>
    </xf>
    <xf numFmtId="0" fontId="13" fillId="0" borderId="40" xfId="0" applyFont="1" applyBorder="1">
      <alignment vertical="center"/>
    </xf>
    <xf numFmtId="0" fontId="13" fillId="0" borderId="37" xfId="0" applyFont="1" applyBorder="1">
      <alignment vertical="center"/>
    </xf>
    <xf numFmtId="0" fontId="0" fillId="0" borderId="3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vertical="center" shrinkToFit="1"/>
    </xf>
    <xf numFmtId="0" fontId="2" fillId="0" borderId="48" xfId="0" applyFont="1" applyBorder="1" applyAlignment="1">
      <alignment horizontal="center" vertical="center"/>
    </xf>
    <xf numFmtId="0" fontId="5" fillId="0" borderId="49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35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2" xfId="0" applyFont="1" applyBorder="1">
      <alignment vertical="center"/>
    </xf>
    <xf numFmtId="0" fontId="13" fillId="0" borderId="35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0" xfId="0" applyFont="1">
      <alignment vertical="center"/>
    </xf>
    <xf numFmtId="0" fontId="13" fillId="0" borderId="49" xfId="0" applyFont="1" applyBorder="1">
      <alignment vertical="center"/>
    </xf>
    <xf numFmtId="0" fontId="0" fillId="0" borderId="0" xfId="0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3" fillId="0" borderId="26" xfId="0" applyFont="1" applyBorder="1" applyAlignment="1">
      <alignment vertical="center" shrinkToFit="1"/>
    </xf>
    <xf numFmtId="0" fontId="17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vertical="center" shrinkToFit="1"/>
    </xf>
    <xf numFmtId="0" fontId="17" fillId="0" borderId="36" xfId="0" applyFont="1" applyBorder="1" applyAlignment="1">
      <alignment horizontal="center" vertical="center"/>
    </xf>
    <xf numFmtId="0" fontId="13" fillId="0" borderId="47" xfId="0" applyFont="1" applyBorder="1" applyAlignment="1">
      <alignment vertical="center" shrinkToFit="1"/>
    </xf>
    <xf numFmtId="0" fontId="17" fillId="0" borderId="48" xfId="0" applyFont="1" applyBorder="1" applyAlignment="1">
      <alignment horizontal="center" vertical="center"/>
    </xf>
    <xf numFmtId="0" fontId="13" fillId="0" borderId="32" xfId="0" applyFont="1" applyBorder="1" applyAlignment="1">
      <alignment vertical="center" shrinkToFit="1"/>
    </xf>
    <xf numFmtId="0" fontId="17" fillId="0" borderId="3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3" fillId="3" borderId="28" xfId="0" applyFont="1" applyFill="1" applyBorder="1">
      <alignment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3" fillId="3" borderId="34" xfId="0" applyFont="1" applyFill="1" applyBorder="1">
      <alignment vertical="center"/>
    </xf>
    <xf numFmtId="0" fontId="0" fillId="3" borderId="26" xfId="0" applyFill="1" applyBorder="1" applyAlignment="1">
      <alignment vertical="center" shrinkToFit="1"/>
    </xf>
    <xf numFmtId="0" fontId="2" fillId="3" borderId="27" xfId="0" applyFont="1" applyFill="1" applyBorder="1" applyAlignment="1">
      <alignment horizontal="center" vertical="center"/>
    </xf>
    <xf numFmtId="0" fontId="0" fillId="3" borderId="29" xfId="0" applyFill="1" applyBorder="1" applyAlignment="1">
      <alignment vertical="center" shrinkToFit="1"/>
    </xf>
    <xf numFmtId="0" fontId="11" fillId="3" borderId="30" xfId="0" applyFont="1" applyFill="1" applyBorder="1" applyAlignment="1">
      <alignment horizontal="center" vertical="center"/>
    </xf>
    <xf numFmtId="0" fontId="13" fillId="3" borderId="31" xfId="0" applyFont="1" applyFill="1" applyBorder="1">
      <alignment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3" fillId="4" borderId="28" xfId="0" applyFont="1" applyFill="1" applyBorder="1">
      <alignment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3" fillId="4" borderId="34" xfId="0" applyFont="1" applyFill="1" applyBorder="1">
      <alignment vertical="center"/>
    </xf>
    <xf numFmtId="0" fontId="13" fillId="4" borderId="26" xfId="0" applyFont="1" applyFill="1" applyBorder="1" applyAlignment="1">
      <alignment vertical="center" shrinkToFit="1"/>
    </xf>
    <xf numFmtId="0" fontId="17" fillId="4" borderId="27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vertical="center" shrinkToFit="1"/>
    </xf>
    <xf numFmtId="0" fontId="17" fillId="4" borderId="33" xfId="0" applyFont="1" applyFill="1" applyBorder="1" applyAlignment="1">
      <alignment horizontal="center" vertical="center"/>
    </xf>
    <xf numFmtId="0" fontId="0" fillId="4" borderId="47" xfId="0" applyFill="1" applyBorder="1" applyAlignment="1">
      <alignment vertical="center" shrinkToFit="1"/>
    </xf>
    <xf numFmtId="0" fontId="7" fillId="4" borderId="48" xfId="0" applyFont="1" applyFill="1" applyBorder="1" applyAlignment="1">
      <alignment horizontal="center" vertical="center"/>
    </xf>
    <xf numFmtId="0" fontId="13" fillId="4" borderId="49" xfId="0" applyFont="1" applyFill="1" applyBorder="1">
      <alignment vertical="center"/>
    </xf>
    <xf numFmtId="0" fontId="2" fillId="3" borderId="30" xfId="0" applyFont="1" applyFill="1" applyBorder="1" applyAlignment="1">
      <alignment horizontal="center" vertical="center"/>
    </xf>
    <xf numFmtId="0" fontId="5" fillId="3" borderId="31" xfId="0" applyFont="1" applyFill="1" applyBorder="1">
      <alignment vertical="center"/>
    </xf>
    <xf numFmtId="0" fontId="5" fillId="4" borderId="49" xfId="0" applyFont="1" applyFill="1" applyBorder="1">
      <alignment vertical="center"/>
    </xf>
    <xf numFmtId="0" fontId="5" fillId="3" borderId="28" xfId="0" applyFont="1" applyFill="1" applyBorder="1">
      <alignment vertical="center"/>
    </xf>
    <xf numFmtId="0" fontId="5" fillId="3" borderId="34" xfId="0" applyFont="1" applyFill="1" applyBorder="1">
      <alignment vertical="center"/>
    </xf>
    <xf numFmtId="0" fontId="5" fillId="4" borderId="28" xfId="0" applyFont="1" applyFill="1" applyBorder="1">
      <alignment vertical="center"/>
    </xf>
    <xf numFmtId="0" fontId="5" fillId="4" borderId="3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D5E9-FAB9-4549-8B21-E9098AAA9732}">
  <dimension ref="B2:K18"/>
  <sheetViews>
    <sheetView showGridLines="0" tabSelected="1" workbookViewId="0"/>
  </sheetViews>
  <sheetFormatPr defaultRowHeight="18"/>
  <cols>
    <col min="8" max="8" width="8.6640625" style="45"/>
    <col min="9" max="9" width="9.75" style="33" bestFit="1" customWidth="1"/>
  </cols>
  <sheetData>
    <row r="2" spans="2:11">
      <c r="B2" t="s">
        <v>27</v>
      </c>
    </row>
    <row r="3" spans="2:11">
      <c r="B3" t="s">
        <v>28</v>
      </c>
    </row>
    <row r="4" spans="2:11" ht="18.5" thickBot="1"/>
    <row r="5" spans="2:11" ht="19" thickTop="1" thickBot="1">
      <c r="C5" s="70" t="s">
        <v>30</v>
      </c>
      <c r="D5" s="71" t="s">
        <v>29</v>
      </c>
      <c r="E5" s="70" t="s">
        <v>36</v>
      </c>
      <c r="F5" s="71" t="s">
        <v>37</v>
      </c>
      <c r="H5" s="46" t="s">
        <v>10</v>
      </c>
      <c r="I5" s="38" t="s">
        <v>11</v>
      </c>
      <c r="J5" s="49">
        <v>12</v>
      </c>
    </row>
    <row r="6" spans="2:11" ht="18.5" thickTop="1">
      <c r="C6" s="69">
        <v>1</v>
      </c>
      <c r="D6" s="54">
        <v>62</v>
      </c>
      <c r="E6" s="77">
        <f>D6-$J$6</f>
        <v>-6.1666666666666714</v>
      </c>
      <c r="F6" s="59">
        <f>E6^2</f>
        <v>38.027777777777835</v>
      </c>
      <c r="H6" s="47" t="s">
        <v>12</v>
      </c>
      <c r="I6" s="40" t="s">
        <v>15</v>
      </c>
      <c r="J6" s="50">
        <f>AVERAGE(D6:D17)</f>
        <v>68.166666666666671</v>
      </c>
    </row>
    <row r="7" spans="2:11" ht="20">
      <c r="C7" s="39">
        <f>C6+1</f>
        <v>2</v>
      </c>
      <c r="D7" s="41">
        <v>71</v>
      </c>
      <c r="E7" s="78">
        <f t="shared" ref="E7:E17" si="0">D7-$J$6</f>
        <v>2.8333333333333286</v>
      </c>
      <c r="F7" s="50">
        <f t="shared" ref="F7:F17" si="1">E7^2</f>
        <v>8.0277777777777501</v>
      </c>
      <c r="H7" s="72" t="s">
        <v>34</v>
      </c>
      <c r="I7" s="75" t="s">
        <v>35</v>
      </c>
      <c r="J7" s="74">
        <f>SUM(F6:F17)</f>
        <v>301.66666666666669</v>
      </c>
    </row>
    <row r="8" spans="2:11">
      <c r="C8" s="39">
        <f t="shared" ref="C8:C17" si="2">C7+1</f>
        <v>3</v>
      </c>
      <c r="D8" s="41">
        <v>65</v>
      </c>
      <c r="E8" s="78">
        <f t="shared" si="0"/>
        <v>-3.1666666666666714</v>
      </c>
      <c r="F8" s="50">
        <f t="shared" si="1"/>
        <v>10.027777777777807</v>
      </c>
      <c r="H8" s="72" t="s">
        <v>38</v>
      </c>
      <c r="I8" s="73" t="s">
        <v>39</v>
      </c>
      <c r="J8" s="74">
        <f>J5-1</f>
        <v>11</v>
      </c>
    </row>
    <row r="9" spans="2:11" ht="18.5" thickBot="1">
      <c r="C9" s="39">
        <f t="shared" si="2"/>
        <v>4</v>
      </c>
      <c r="D9" s="41">
        <v>68</v>
      </c>
      <c r="E9" s="78">
        <f t="shared" si="0"/>
        <v>-0.1666666666666714</v>
      </c>
      <c r="F9" s="50">
        <f t="shared" si="1"/>
        <v>2.7777777777779358E-2</v>
      </c>
      <c r="H9" s="48" t="s">
        <v>31</v>
      </c>
      <c r="I9" s="43" t="s">
        <v>32</v>
      </c>
      <c r="J9" s="51">
        <f>J7/J8</f>
        <v>27.424242424242426</v>
      </c>
      <c r="K9" s="76">
        <f>_xlfn.VAR.S(D6:D17)</f>
        <v>27.424242424242426</v>
      </c>
    </row>
    <row r="10" spans="2:11" ht="19" thickTop="1" thickBot="1">
      <c r="C10" s="39">
        <f t="shared" si="2"/>
        <v>5</v>
      </c>
      <c r="D10" s="41">
        <v>74</v>
      </c>
      <c r="E10" s="78">
        <f t="shared" si="0"/>
        <v>5.8333333333333286</v>
      </c>
      <c r="F10" s="50">
        <f t="shared" si="1"/>
        <v>34.027777777777722</v>
      </c>
      <c r="H10" s="55" t="s">
        <v>21</v>
      </c>
      <c r="I10" s="56" t="s">
        <v>33</v>
      </c>
      <c r="J10" s="57">
        <v>2.20099</v>
      </c>
    </row>
    <row r="11" spans="2:11" ht="18.5" thickTop="1">
      <c r="C11" s="39">
        <f t="shared" si="2"/>
        <v>6</v>
      </c>
      <c r="D11" s="41">
        <v>70</v>
      </c>
      <c r="E11" s="78">
        <f t="shared" si="0"/>
        <v>1.8333333333333286</v>
      </c>
      <c r="F11" s="50">
        <f t="shared" si="1"/>
        <v>3.3611111111110938</v>
      </c>
      <c r="H11" s="52" t="s">
        <v>22</v>
      </c>
      <c r="I11" s="58" t="s">
        <v>40</v>
      </c>
      <c r="J11" s="59">
        <f>SQRT(J9/J5)</f>
        <v>1.5117385803615437</v>
      </c>
    </row>
    <row r="12" spans="2:11" ht="18.5" thickBot="1">
      <c r="C12" s="39">
        <f t="shared" si="2"/>
        <v>7</v>
      </c>
      <c r="D12" s="41">
        <v>59</v>
      </c>
      <c r="E12" s="78">
        <f t="shared" si="0"/>
        <v>-9.1666666666666714</v>
      </c>
      <c r="F12" s="50">
        <f t="shared" si="1"/>
        <v>84.027777777777871</v>
      </c>
      <c r="H12" s="60" t="s">
        <v>24</v>
      </c>
      <c r="I12" s="61"/>
      <c r="J12" s="51">
        <f>J10*J11</f>
        <v>3.3273214979899541</v>
      </c>
    </row>
    <row r="13" spans="2:11" ht="18.5" thickTop="1">
      <c r="C13" s="39">
        <f t="shared" si="2"/>
        <v>8</v>
      </c>
      <c r="D13" s="41">
        <v>77</v>
      </c>
      <c r="E13" s="78">
        <f t="shared" si="0"/>
        <v>8.8333333333333286</v>
      </c>
      <c r="F13" s="50">
        <f t="shared" si="1"/>
        <v>78.0277777777777</v>
      </c>
      <c r="H13" s="62" t="s">
        <v>25</v>
      </c>
      <c r="I13" s="63"/>
      <c r="J13" s="49">
        <f>J6-J12</f>
        <v>64.839345168676715</v>
      </c>
    </row>
    <row r="14" spans="2:11" ht="18.5" thickBot="1">
      <c r="C14" s="39">
        <f t="shared" si="2"/>
        <v>9</v>
      </c>
      <c r="D14" s="41">
        <v>66</v>
      </c>
      <c r="E14" s="78">
        <f t="shared" si="0"/>
        <v>-2.1666666666666714</v>
      </c>
      <c r="F14" s="50">
        <f t="shared" si="1"/>
        <v>4.6944444444444651</v>
      </c>
      <c r="H14" s="60" t="s">
        <v>26</v>
      </c>
      <c r="I14" s="61"/>
      <c r="J14" s="51">
        <f>J6+J12</f>
        <v>71.493988164656628</v>
      </c>
    </row>
    <row r="15" spans="2:11" ht="18.5" thickTop="1">
      <c r="C15" s="39">
        <f t="shared" si="2"/>
        <v>10</v>
      </c>
      <c r="D15" s="41">
        <v>73</v>
      </c>
      <c r="E15" s="78">
        <f t="shared" si="0"/>
        <v>4.8333333333333286</v>
      </c>
      <c r="F15" s="50">
        <f t="shared" si="1"/>
        <v>23.361111111111065</v>
      </c>
    </row>
    <row r="16" spans="2:11">
      <c r="C16" s="39">
        <f t="shared" si="2"/>
        <v>11</v>
      </c>
      <c r="D16" s="41">
        <v>69</v>
      </c>
      <c r="E16" s="78">
        <f t="shared" si="0"/>
        <v>0.8333333333333286</v>
      </c>
      <c r="F16" s="50">
        <f t="shared" si="1"/>
        <v>0.69444444444443654</v>
      </c>
    </row>
    <row r="17" spans="3:6" ht="18.5" thickBot="1">
      <c r="C17" s="42">
        <f t="shared" si="2"/>
        <v>12</v>
      </c>
      <c r="D17" s="44">
        <v>64</v>
      </c>
      <c r="E17" s="79">
        <f t="shared" si="0"/>
        <v>-4.1666666666666714</v>
      </c>
      <c r="F17" s="51">
        <f t="shared" si="1"/>
        <v>17.36111111111115</v>
      </c>
    </row>
    <row r="18" spans="3:6" ht="18.5" thickTop="1"/>
  </sheetData>
  <mergeCells count="3">
    <mergeCell ref="H12:I12"/>
    <mergeCell ref="H13:I13"/>
    <mergeCell ref="H14:I1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AB1B-F1F9-42BF-B41F-8FE34EDCE06F}">
  <dimension ref="B2:K18"/>
  <sheetViews>
    <sheetView showGridLines="0" workbookViewId="0"/>
  </sheetViews>
  <sheetFormatPr defaultRowHeight="18"/>
  <cols>
    <col min="8" max="8" width="8.6640625" style="45"/>
    <col min="9" max="9" width="9.75" style="33" bestFit="1" customWidth="1"/>
  </cols>
  <sheetData>
    <row r="2" spans="2:11">
      <c r="B2" t="s">
        <v>27</v>
      </c>
    </row>
    <row r="3" spans="2:11">
      <c r="B3" t="s">
        <v>28</v>
      </c>
    </row>
    <row r="4" spans="2:11" ht="18.5" thickBot="1"/>
    <row r="5" spans="2:11" ht="19" thickTop="1" thickBot="1">
      <c r="C5" s="70" t="s">
        <v>30</v>
      </c>
      <c r="D5" s="71" t="s">
        <v>29</v>
      </c>
      <c r="E5" s="70" t="s">
        <v>36</v>
      </c>
      <c r="F5" s="71" t="s">
        <v>37</v>
      </c>
      <c r="H5" s="46" t="s">
        <v>10</v>
      </c>
      <c r="I5" s="38" t="s">
        <v>11</v>
      </c>
      <c r="J5" s="64"/>
    </row>
    <row r="6" spans="2:11" ht="18.5" thickTop="1">
      <c r="C6" s="69">
        <v>1</v>
      </c>
      <c r="D6" s="54">
        <v>62</v>
      </c>
      <c r="E6" s="80"/>
      <c r="F6" s="68"/>
      <c r="H6" s="47" t="s">
        <v>12</v>
      </c>
      <c r="I6" s="40" t="s">
        <v>15</v>
      </c>
      <c r="J6" s="65"/>
    </row>
    <row r="7" spans="2:11" ht="20">
      <c r="C7" s="39">
        <f>C6+1</f>
        <v>2</v>
      </c>
      <c r="D7" s="41">
        <v>71</v>
      </c>
      <c r="E7" s="81"/>
      <c r="F7" s="65"/>
      <c r="H7" s="72" t="s">
        <v>34</v>
      </c>
      <c r="I7" s="75" t="s">
        <v>35</v>
      </c>
      <c r="J7" s="84"/>
    </row>
    <row r="8" spans="2:11">
      <c r="C8" s="39">
        <f t="shared" ref="C8:C17" si="0">C7+1</f>
        <v>3</v>
      </c>
      <c r="D8" s="41">
        <v>65</v>
      </c>
      <c r="E8" s="81"/>
      <c r="F8" s="65"/>
      <c r="H8" s="72" t="s">
        <v>38</v>
      </c>
      <c r="I8" s="73" t="s">
        <v>39</v>
      </c>
      <c r="J8" s="84"/>
    </row>
    <row r="9" spans="2:11" ht="18.5" thickBot="1">
      <c r="C9" s="39">
        <f t="shared" si="0"/>
        <v>4</v>
      </c>
      <c r="D9" s="41">
        <v>68</v>
      </c>
      <c r="E9" s="81"/>
      <c r="F9" s="65"/>
      <c r="H9" s="48" t="s">
        <v>31</v>
      </c>
      <c r="I9" s="43" t="s">
        <v>32</v>
      </c>
      <c r="J9" s="66"/>
      <c r="K9" s="83"/>
    </row>
    <row r="10" spans="2:11" ht="19" thickTop="1" thickBot="1">
      <c r="C10" s="39">
        <f t="shared" si="0"/>
        <v>5</v>
      </c>
      <c r="D10" s="41">
        <v>74</v>
      </c>
      <c r="E10" s="81"/>
      <c r="F10" s="65"/>
      <c r="H10" s="55" t="s">
        <v>21</v>
      </c>
      <c r="I10" s="56" t="s">
        <v>33</v>
      </c>
      <c r="J10" s="67"/>
    </row>
    <row r="11" spans="2:11" ht="18.5" thickTop="1">
      <c r="C11" s="39">
        <f t="shared" si="0"/>
        <v>6</v>
      </c>
      <c r="D11" s="41">
        <v>70</v>
      </c>
      <c r="E11" s="81"/>
      <c r="F11" s="65"/>
      <c r="H11" s="52" t="s">
        <v>22</v>
      </c>
      <c r="I11" s="58" t="s">
        <v>40</v>
      </c>
      <c r="J11" s="68"/>
    </row>
    <row r="12" spans="2:11" ht="18.5" thickBot="1">
      <c r="C12" s="39">
        <f t="shared" si="0"/>
        <v>7</v>
      </c>
      <c r="D12" s="41">
        <v>59</v>
      </c>
      <c r="E12" s="81"/>
      <c r="F12" s="65"/>
      <c r="H12" s="60" t="s">
        <v>24</v>
      </c>
      <c r="I12" s="61"/>
      <c r="J12" s="66"/>
    </row>
    <row r="13" spans="2:11" ht="18.5" thickTop="1">
      <c r="C13" s="39">
        <f t="shared" si="0"/>
        <v>8</v>
      </c>
      <c r="D13" s="41">
        <v>77</v>
      </c>
      <c r="E13" s="81"/>
      <c r="F13" s="65"/>
      <c r="H13" s="62" t="s">
        <v>25</v>
      </c>
      <c r="I13" s="63"/>
      <c r="J13" s="64"/>
    </row>
    <row r="14" spans="2:11" ht="18.5" thickBot="1">
      <c r="C14" s="39">
        <f t="shared" si="0"/>
        <v>9</v>
      </c>
      <c r="D14" s="41">
        <v>66</v>
      </c>
      <c r="E14" s="81"/>
      <c r="F14" s="65"/>
      <c r="H14" s="60" t="s">
        <v>26</v>
      </c>
      <c r="I14" s="61"/>
      <c r="J14" s="66"/>
    </row>
    <row r="15" spans="2:11" ht="18.5" thickTop="1">
      <c r="C15" s="39">
        <f t="shared" si="0"/>
        <v>10</v>
      </c>
      <c r="D15" s="41">
        <v>73</v>
      </c>
      <c r="E15" s="81"/>
      <c r="F15" s="65"/>
    </row>
    <row r="16" spans="2:11">
      <c r="C16" s="39">
        <f t="shared" si="0"/>
        <v>11</v>
      </c>
      <c r="D16" s="41">
        <v>69</v>
      </c>
      <c r="E16" s="81"/>
      <c r="F16" s="65"/>
    </row>
    <row r="17" spans="3:6" ht="18.5" thickBot="1">
      <c r="C17" s="42">
        <f t="shared" si="0"/>
        <v>12</v>
      </c>
      <c r="D17" s="44">
        <v>64</v>
      </c>
      <c r="E17" s="82"/>
      <c r="F17" s="66"/>
    </row>
    <row r="18" spans="3:6" ht="18.5" thickTop="1"/>
  </sheetData>
  <mergeCells count="3">
    <mergeCell ref="H12:I12"/>
    <mergeCell ref="H13:I13"/>
    <mergeCell ref="H14:I1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BB7-1677-4FD1-9276-B0C1F83B405A}">
  <dimension ref="B2:K14"/>
  <sheetViews>
    <sheetView showGridLines="0" workbookViewId="0"/>
  </sheetViews>
  <sheetFormatPr defaultRowHeight="18"/>
  <cols>
    <col min="3" max="3" width="8.6640625" style="45"/>
    <col min="4" max="4" width="6.25" style="33" bestFit="1" customWidth="1"/>
    <col min="6" max="6" width="3.58203125" customWidth="1"/>
    <col min="11" max="11" width="10.4140625" bestFit="1" customWidth="1"/>
  </cols>
  <sheetData>
    <row r="2" spans="2:11" ht="20">
      <c r="B2" t="s">
        <v>7</v>
      </c>
    </row>
    <row r="3" spans="2:11">
      <c r="B3" t="s">
        <v>8</v>
      </c>
    </row>
    <row r="4" spans="2:11">
      <c r="B4" t="s">
        <v>9</v>
      </c>
    </row>
    <row r="5" spans="2:11" ht="18.5" thickBot="1"/>
    <row r="6" spans="2:11" ht="18.5" thickTop="1">
      <c r="C6" s="46" t="s">
        <v>10</v>
      </c>
      <c r="D6" s="38" t="s">
        <v>11</v>
      </c>
      <c r="E6" s="49">
        <v>10</v>
      </c>
    </row>
    <row r="7" spans="2:11" ht="18.5" thickBot="1">
      <c r="C7" s="47" t="s">
        <v>12</v>
      </c>
      <c r="D7" s="40" t="s">
        <v>15</v>
      </c>
      <c r="E7" s="50">
        <v>5.12</v>
      </c>
    </row>
    <row r="8" spans="2:11" ht="19" thickTop="1" thickBot="1">
      <c r="C8" s="48" t="s">
        <v>14</v>
      </c>
      <c r="D8" s="43" t="s">
        <v>13</v>
      </c>
      <c r="E8" s="51">
        <v>0.25</v>
      </c>
      <c r="G8" s="36" t="s">
        <v>16</v>
      </c>
      <c r="H8" s="34" t="s">
        <v>18</v>
      </c>
      <c r="I8" s="35" t="s">
        <v>17</v>
      </c>
      <c r="J8" s="34" t="s">
        <v>20</v>
      </c>
      <c r="K8" s="37" t="s">
        <v>19</v>
      </c>
    </row>
    <row r="9" spans="2:11" ht="19" thickTop="1" thickBot="1">
      <c r="C9" s="55" t="s">
        <v>21</v>
      </c>
      <c r="D9" s="56" t="s">
        <v>0</v>
      </c>
      <c r="E9" s="57">
        <v>1.96</v>
      </c>
    </row>
    <row r="10" spans="2:11" ht="18.5" thickTop="1">
      <c r="C10" s="52" t="s">
        <v>22</v>
      </c>
      <c r="D10" s="58" t="s">
        <v>23</v>
      </c>
      <c r="E10" s="59">
        <f>SQRT(E8/E6)</f>
        <v>0.15811388300841897</v>
      </c>
    </row>
    <row r="11" spans="2:11" ht="18.5" thickBot="1">
      <c r="C11" s="60" t="s">
        <v>24</v>
      </c>
      <c r="D11" s="61"/>
      <c r="E11" s="51">
        <f>E9*E10</f>
        <v>0.30990321069650117</v>
      </c>
    </row>
    <row r="12" spans="2:11" ht="18.5" thickTop="1">
      <c r="C12" s="62" t="s">
        <v>25</v>
      </c>
      <c r="D12" s="63"/>
      <c r="E12" s="49">
        <f>E7-E11</f>
        <v>4.8100967893034987</v>
      </c>
    </row>
    <row r="13" spans="2:11" ht="18.5" thickBot="1">
      <c r="C13" s="60" t="s">
        <v>26</v>
      </c>
      <c r="D13" s="61"/>
      <c r="E13" s="51">
        <f>E7+E11</f>
        <v>5.4299032106965015</v>
      </c>
    </row>
    <row r="14" spans="2:11" ht="18.5" thickTop="1"/>
  </sheetData>
  <mergeCells count="3">
    <mergeCell ref="C11:D11"/>
    <mergeCell ref="C12:D12"/>
    <mergeCell ref="C13:D13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6FFD-F1B8-4BDB-A171-925BDE328616}">
  <dimension ref="B2:K14"/>
  <sheetViews>
    <sheetView showGridLines="0" workbookViewId="0"/>
  </sheetViews>
  <sheetFormatPr defaultRowHeight="18"/>
  <cols>
    <col min="3" max="3" width="8.6640625" style="45"/>
    <col min="4" max="4" width="6.25" style="33" bestFit="1" customWidth="1"/>
    <col min="6" max="6" width="3.58203125" customWidth="1"/>
    <col min="11" max="11" width="10.4140625" bestFit="1" customWidth="1"/>
  </cols>
  <sheetData>
    <row r="2" spans="2:11" ht="20">
      <c r="B2" t="s">
        <v>7</v>
      </c>
    </row>
    <row r="3" spans="2:11">
      <c r="B3" t="s">
        <v>8</v>
      </c>
    </row>
    <row r="4" spans="2:11">
      <c r="B4" t="s">
        <v>9</v>
      </c>
    </row>
    <row r="5" spans="2:11" ht="18.5" thickBot="1"/>
    <row r="6" spans="2:11" ht="18.5" thickTop="1">
      <c r="C6" s="46" t="s">
        <v>10</v>
      </c>
      <c r="D6" s="38" t="s">
        <v>11</v>
      </c>
      <c r="E6" s="64"/>
    </row>
    <row r="7" spans="2:11" ht="18.5" thickBot="1">
      <c r="C7" s="47" t="s">
        <v>12</v>
      </c>
      <c r="D7" s="40" t="s">
        <v>15</v>
      </c>
      <c r="E7" s="65"/>
    </row>
    <row r="8" spans="2:11" ht="19" thickTop="1" thickBot="1">
      <c r="C8" s="48" t="s">
        <v>14</v>
      </c>
      <c r="D8" s="43" t="s">
        <v>13</v>
      </c>
      <c r="E8" s="66"/>
      <c r="G8" s="36" t="s">
        <v>16</v>
      </c>
      <c r="H8" s="34"/>
      <c r="I8" s="35" t="s">
        <v>17</v>
      </c>
      <c r="J8" s="34"/>
      <c r="K8" s="37" t="s">
        <v>19</v>
      </c>
    </row>
    <row r="9" spans="2:11" ht="19" thickTop="1" thickBot="1">
      <c r="C9" s="55" t="s">
        <v>21</v>
      </c>
      <c r="D9" s="56" t="s">
        <v>0</v>
      </c>
      <c r="E9" s="67"/>
    </row>
    <row r="10" spans="2:11" ht="18.5" thickTop="1">
      <c r="C10" s="52" t="s">
        <v>22</v>
      </c>
      <c r="D10" s="58" t="s">
        <v>23</v>
      </c>
      <c r="E10" s="68"/>
    </row>
    <row r="11" spans="2:11" ht="18.5" thickBot="1">
      <c r="C11" s="60" t="s">
        <v>24</v>
      </c>
      <c r="D11" s="61"/>
      <c r="E11" s="66"/>
    </row>
    <row r="12" spans="2:11" ht="18.5" thickTop="1">
      <c r="C12" s="62" t="s">
        <v>25</v>
      </c>
      <c r="D12" s="63"/>
      <c r="E12" s="64"/>
    </row>
    <row r="13" spans="2:11" ht="18.5" thickBot="1">
      <c r="C13" s="60" t="s">
        <v>26</v>
      </c>
      <c r="D13" s="61"/>
      <c r="E13" s="66"/>
    </row>
    <row r="14" spans="2:11" ht="18.5" thickTop="1"/>
  </sheetData>
  <mergeCells count="3">
    <mergeCell ref="C11:D11"/>
    <mergeCell ref="C12:D12"/>
    <mergeCell ref="C13:D13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AD82-4CEC-4A94-A90F-B2D87A6A6F53}">
  <dimension ref="B2:F13"/>
  <sheetViews>
    <sheetView showGridLines="0" workbookViewId="0"/>
  </sheetViews>
  <sheetFormatPr defaultRowHeight="18"/>
  <sheetData>
    <row r="2" spans="2:6">
      <c r="B2" s="85" t="s">
        <v>42</v>
      </c>
    </row>
    <row r="3" spans="2:6">
      <c r="B3" t="s">
        <v>41</v>
      </c>
    </row>
    <row r="4" spans="2:6" ht="18.5" thickBot="1"/>
    <row r="5" spans="2:6" ht="18.5" thickTop="1">
      <c r="C5" s="46" t="s">
        <v>10</v>
      </c>
      <c r="D5" s="38" t="s">
        <v>11</v>
      </c>
      <c r="E5" s="49">
        <v>20</v>
      </c>
    </row>
    <row r="6" spans="2:6">
      <c r="C6" s="47" t="s">
        <v>31</v>
      </c>
      <c r="D6" s="53" t="s">
        <v>43</v>
      </c>
      <c r="E6" s="50">
        <v>36</v>
      </c>
    </row>
    <row r="7" spans="2:6">
      <c r="C7" s="72" t="s">
        <v>38</v>
      </c>
      <c r="D7" s="73" t="s">
        <v>39</v>
      </c>
      <c r="E7" s="74">
        <f>E5-1</f>
        <v>19</v>
      </c>
    </row>
    <row r="8" spans="2:6" ht="18.5" thickBot="1">
      <c r="C8" s="72" t="s">
        <v>34</v>
      </c>
      <c r="D8" s="73" t="s">
        <v>48</v>
      </c>
      <c r="E8" s="74">
        <f>E6*E7</f>
        <v>684</v>
      </c>
    </row>
    <row r="9" spans="2:6" ht="18.5" thickTop="1">
      <c r="C9" s="46" t="s">
        <v>44</v>
      </c>
      <c r="D9" s="38" t="s">
        <v>47</v>
      </c>
      <c r="E9" s="49">
        <v>32.852330000000002</v>
      </c>
      <c r="F9" s="76">
        <f>カイ二乗分布表!J27</f>
        <v>32.852326861729708</v>
      </c>
    </row>
    <row r="10" spans="2:6" ht="18.5" thickBot="1">
      <c r="C10" s="48" t="s">
        <v>45</v>
      </c>
      <c r="D10" s="86" t="s">
        <v>46</v>
      </c>
      <c r="E10" s="51">
        <v>8.9065200000000004</v>
      </c>
      <c r="F10" s="76">
        <f>カイ二乗分布表!G27</f>
        <v>8.9065164819879747</v>
      </c>
    </row>
    <row r="11" spans="2:6" ht="18.5" thickTop="1">
      <c r="C11" s="62" t="s">
        <v>25</v>
      </c>
      <c r="D11" s="63"/>
      <c r="E11" s="49">
        <f>E8/E9</f>
        <v>20.820441046342829</v>
      </c>
    </row>
    <row r="12" spans="2:6" ht="18.5" thickBot="1">
      <c r="C12" s="60" t="s">
        <v>26</v>
      </c>
      <c r="D12" s="61"/>
      <c r="E12" s="51">
        <f>E8/E10</f>
        <v>76.797671817949094</v>
      </c>
    </row>
    <row r="13" spans="2:6" ht="18.5" thickTop="1"/>
  </sheetData>
  <mergeCells count="2">
    <mergeCell ref="C11:D11"/>
    <mergeCell ref="C12:D1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819E-2B60-4A1D-8469-64EB25D4CCED}">
  <dimension ref="B2:F13"/>
  <sheetViews>
    <sheetView showGridLines="0" workbookViewId="0"/>
  </sheetViews>
  <sheetFormatPr defaultRowHeight="18"/>
  <sheetData>
    <row r="2" spans="2:6">
      <c r="B2" s="85" t="s">
        <v>42</v>
      </c>
    </row>
    <row r="3" spans="2:6">
      <c r="B3" t="s">
        <v>41</v>
      </c>
    </row>
    <row r="4" spans="2:6" ht="18.5" thickBot="1"/>
    <row r="5" spans="2:6" ht="18.5" thickTop="1">
      <c r="C5" s="87" t="s">
        <v>10</v>
      </c>
      <c r="D5" s="88" t="s">
        <v>11</v>
      </c>
      <c r="E5" s="64"/>
      <c r="F5" s="83"/>
    </row>
    <row r="6" spans="2:6">
      <c r="C6" s="89" t="s">
        <v>31</v>
      </c>
      <c r="D6" s="90" t="s">
        <v>49</v>
      </c>
      <c r="E6" s="65"/>
      <c r="F6" s="83"/>
    </row>
    <row r="7" spans="2:6">
      <c r="C7" s="91" t="s">
        <v>38</v>
      </c>
      <c r="D7" s="92" t="s">
        <v>39</v>
      </c>
      <c r="E7" s="84"/>
      <c r="F7" s="83"/>
    </row>
    <row r="8" spans="2:6" ht="18.5" thickBot="1">
      <c r="C8" s="91" t="s">
        <v>34</v>
      </c>
      <c r="D8" s="92" t="s">
        <v>50</v>
      </c>
      <c r="E8" s="84"/>
      <c r="F8" s="83"/>
    </row>
    <row r="9" spans="2:6" ht="18.5" thickTop="1">
      <c r="C9" s="87" t="s">
        <v>44</v>
      </c>
      <c r="D9" s="88" t="s">
        <v>51</v>
      </c>
      <c r="E9" s="64"/>
      <c r="F9" s="83"/>
    </row>
    <row r="10" spans="2:6" ht="18.5" thickBot="1">
      <c r="C10" s="93" t="s">
        <v>45</v>
      </c>
      <c r="D10" s="94" t="s">
        <v>52</v>
      </c>
      <c r="E10" s="66"/>
      <c r="F10" s="83"/>
    </row>
    <row r="11" spans="2:6" ht="18.5" thickTop="1">
      <c r="C11" s="95" t="s">
        <v>25</v>
      </c>
      <c r="D11" s="96"/>
      <c r="E11" s="64"/>
      <c r="F11" s="83"/>
    </row>
    <row r="12" spans="2:6" ht="18.5" thickBot="1">
      <c r="C12" s="97" t="s">
        <v>26</v>
      </c>
      <c r="D12" s="98"/>
      <c r="E12" s="66"/>
      <c r="F12" s="83"/>
    </row>
    <row r="13" spans="2:6" ht="18.5" thickTop="1"/>
  </sheetData>
  <mergeCells count="2">
    <mergeCell ref="C11:D11"/>
    <mergeCell ref="C12:D1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E114-6EF2-4873-95D4-4CEE524CAF37}">
  <dimension ref="B2:K20"/>
  <sheetViews>
    <sheetView showGridLines="0" workbookViewId="0"/>
  </sheetViews>
  <sheetFormatPr defaultRowHeight="18"/>
  <sheetData>
    <row r="2" spans="2:11">
      <c r="B2" t="s">
        <v>53</v>
      </c>
    </row>
    <row r="3" spans="2:11">
      <c r="B3" t="s">
        <v>54</v>
      </c>
    </row>
    <row r="4" spans="2:11">
      <c r="B4" t="s">
        <v>41</v>
      </c>
    </row>
    <row r="5" spans="2:11" ht="18.5" thickBot="1"/>
    <row r="6" spans="2:11" ht="19" thickTop="1" thickBot="1">
      <c r="C6" s="70" t="s">
        <v>56</v>
      </c>
      <c r="D6" s="71" t="s">
        <v>55</v>
      </c>
      <c r="E6" s="70" t="s">
        <v>36</v>
      </c>
      <c r="F6" s="71" t="s">
        <v>37</v>
      </c>
      <c r="H6" s="46" t="s">
        <v>10</v>
      </c>
      <c r="I6" s="38" t="s">
        <v>11</v>
      </c>
      <c r="J6" s="49">
        <v>8</v>
      </c>
    </row>
    <row r="7" spans="2:11" ht="18.5" thickTop="1">
      <c r="C7" s="69">
        <v>1</v>
      </c>
      <c r="D7" s="54">
        <v>19.8</v>
      </c>
      <c r="E7" s="77">
        <f>D7-$J$7</f>
        <v>-0.55000000000000071</v>
      </c>
      <c r="F7" s="59">
        <f>E7^2</f>
        <v>0.30250000000000077</v>
      </c>
      <c r="H7" s="107" t="s">
        <v>12</v>
      </c>
      <c r="I7" s="123" t="s">
        <v>15</v>
      </c>
      <c r="J7" s="124">
        <f>AVERAGE(D7:D14)</f>
        <v>20.350000000000001</v>
      </c>
    </row>
    <row r="8" spans="2:11" ht="20">
      <c r="C8" s="39">
        <f>C7+1</f>
        <v>2</v>
      </c>
      <c r="D8" s="41">
        <v>20.5</v>
      </c>
      <c r="E8" s="78">
        <f t="shared" ref="E8:E14" si="0">D8-$J$7</f>
        <v>0.14999999999999858</v>
      </c>
      <c r="F8" s="50">
        <f t="shared" ref="F8:F14" si="1">E8^2</f>
        <v>2.2499999999999572E-2</v>
      </c>
      <c r="H8" s="120" t="s">
        <v>34</v>
      </c>
      <c r="I8" s="121" t="s">
        <v>35</v>
      </c>
      <c r="J8" s="125">
        <f>SUM(F7:F14)</f>
        <v>2.6599999999999993</v>
      </c>
    </row>
    <row r="9" spans="2:11">
      <c r="C9" s="39">
        <f t="shared" ref="C9:C14" si="2">C8+1</f>
        <v>3</v>
      </c>
      <c r="D9" s="41">
        <v>21.2</v>
      </c>
      <c r="E9" s="78">
        <f t="shared" si="0"/>
        <v>0.84999999999999787</v>
      </c>
      <c r="F9" s="50">
        <f t="shared" si="1"/>
        <v>0.72249999999999637</v>
      </c>
      <c r="H9" s="72" t="s">
        <v>38</v>
      </c>
      <c r="I9" s="73" t="s">
        <v>39</v>
      </c>
      <c r="J9" s="74">
        <f>J6-1</f>
        <v>7</v>
      </c>
    </row>
    <row r="10" spans="2:11" ht="18.5" thickBot="1">
      <c r="C10" s="39">
        <f t="shared" si="2"/>
        <v>4</v>
      </c>
      <c r="D10" s="41">
        <v>19.5</v>
      </c>
      <c r="E10" s="78">
        <f t="shared" si="0"/>
        <v>-0.85000000000000142</v>
      </c>
      <c r="F10" s="50">
        <f t="shared" si="1"/>
        <v>0.72250000000000236</v>
      </c>
      <c r="H10" s="48" t="s">
        <v>31</v>
      </c>
      <c r="I10" s="43" t="s">
        <v>32</v>
      </c>
      <c r="J10" s="51">
        <f>J8/J9</f>
        <v>0.37999999999999989</v>
      </c>
      <c r="K10" s="76">
        <f>_xlfn.VAR.S(D7:D14)</f>
        <v>0.37999999999999989</v>
      </c>
    </row>
    <row r="11" spans="2:11" ht="18.5" thickTop="1">
      <c r="C11" s="39">
        <f t="shared" si="2"/>
        <v>5</v>
      </c>
      <c r="D11" s="41">
        <v>20.8</v>
      </c>
      <c r="E11" s="78">
        <f t="shared" si="0"/>
        <v>0.44999999999999929</v>
      </c>
      <c r="F11" s="50">
        <f t="shared" si="1"/>
        <v>0.20249999999999935</v>
      </c>
      <c r="H11" s="105" t="s">
        <v>21</v>
      </c>
      <c r="I11" s="106" t="s">
        <v>33</v>
      </c>
      <c r="J11" s="126">
        <v>3.4994800000000001</v>
      </c>
      <c r="K11" s="76">
        <f>_xlfn.T.INV(0.005,$J$9)</f>
        <v>-3.4994832973504946</v>
      </c>
    </row>
    <row r="12" spans="2:11">
      <c r="C12" s="39">
        <f t="shared" si="2"/>
        <v>6</v>
      </c>
      <c r="D12" s="41">
        <v>20.100000000000001</v>
      </c>
      <c r="E12" s="78">
        <f t="shared" si="0"/>
        <v>-0.25</v>
      </c>
      <c r="F12" s="50">
        <f t="shared" si="1"/>
        <v>6.25E-2</v>
      </c>
      <c r="H12" s="107" t="s">
        <v>22</v>
      </c>
      <c r="I12" s="108" t="s">
        <v>40</v>
      </c>
      <c r="J12" s="124">
        <f>SQRT(J10/J6)</f>
        <v>0.21794494717703364</v>
      </c>
    </row>
    <row r="13" spans="2:11" ht="18.5" thickBot="1">
      <c r="C13" s="39">
        <f t="shared" si="2"/>
        <v>7</v>
      </c>
      <c r="D13" s="41">
        <v>21</v>
      </c>
      <c r="E13" s="78">
        <f t="shared" si="0"/>
        <v>0.64999999999999858</v>
      </c>
      <c r="F13" s="50">
        <f t="shared" si="1"/>
        <v>0.42249999999999815</v>
      </c>
      <c r="H13" s="102" t="s">
        <v>24</v>
      </c>
      <c r="I13" s="103"/>
      <c r="J13" s="127">
        <f>J11*J12</f>
        <v>0.76269398374708575</v>
      </c>
    </row>
    <row r="14" spans="2:11" ht="19" thickTop="1" thickBot="1">
      <c r="C14" s="42">
        <f t="shared" si="2"/>
        <v>8</v>
      </c>
      <c r="D14" s="44">
        <v>19.899999999999999</v>
      </c>
      <c r="E14" s="79">
        <f t="shared" si="0"/>
        <v>-0.45000000000000284</v>
      </c>
      <c r="F14" s="51">
        <f t="shared" si="1"/>
        <v>0.20250000000000257</v>
      </c>
      <c r="H14" s="116" t="s">
        <v>44</v>
      </c>
      <c r="I14" s="117" t="s">
        <v>51</v>
      </c>
      <c r="J14" s="128">
        <v>16.01276</v>
      </c>
      <c r="K14" s="76">
        <f>_xlfn.CHISQ.INV.RT(0.025,J9)</f>
        <v>16.012764274629326</v>
      </c>
    </row>
    <row r="15" spans="2:11" ht="19" thickTop="1" thickBot="1">
      <c r="H15" s="118" t="s">
        <v>45</v>
      </c>
      <c r="I15" s="119" t="s">
        <v>52</v>
      </c>
      <c r="J15" s="129">
        <v>1.68987</v>
      </c>
      <c r="K15" s="76">
        <f>_xlfn.CHISQ.INV.RT(0.975,J9)</f>
        <v>1.6898691806773543</v>
      </c>
    </row>
    <row r="16" spans="2:11" ht="18.5" thickTop="1">
      <c r="H16" s="99" t="s">
        <v>57</v>
      </c>
      <c r="I16" s="100"/>
      <c r="J16" s="126">
        <f>J7-J13</f>
        <v>19.587306016252917</v>
      </c>
    </row>
    <row r="17" spans="8:10" ht="18.5" thickBot="1">
      <c r="H17" s="102" t="s">
        <v>58</v>
      </c>
      <c r="I17" s="103"/>
      <c r="J17" s="127">
        <f>J7+J13</f>
        <v>21.112693983747086</v>
      </c>
    </row>
    <row r="18" spans="8:10" ht="18.5" thickTop="1">
      <c r="H18" s="110" t="s">
        <v>59</v>
      </c>
      <c r="I18" s="111"/>
      <c r="J18" s="128">
        <f>J8/J14</f>
        <v>0.16611752127678173</v>
      </c>
    </row>
    <row r="19" spans="8:10" ht="18.5" thickBot="1">
      <c r="H19" s="113" t="s">
        <v>60</v>
      </c>
      <c r="I19" s="114"/>
      <c r="J19" s="129">
        <f>J8/J15</f>
        <v>1.5740855805476157</v>
      </c>
    </row>
    <row r="20" spans="8:10" ht="18.5" thickTop="1"/>
  </sheetData>
  <mergeCells count="5">
    <mergeCell ref="H19:I19"/>
    <mergeCell ref="H13:I13"/>
    <mergeCell ref="H16:I16"/>
    <mergeCell ref="H17:I17"/>
    <mergeCell ref="H18:I18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816D-5A4B-427C-AE45-E55C1DA0A182}">
  <dimension ref="B2:K20"/>
  <sheetViews>
    <sheetView showGridLines="0" workbookViewId="0"/>
  </sheetViews>
  <sheetFormatPr defaultRowHeight="18"/>
  <sheetData>
    <row r="2" spans="2:11">
      <c r="B2" t="s">
        <v>53</v>
      </c>
    </row>
    <row r="3" spans="2:11">
      <c r="B3" t="s">
        <v>54</v>
      </c>
    </row>
    <row r="4" spans="2:11">
      <c r="B4" t="s">
        <v>41</v>
      </c>
    </row>
    <row r="5" spans="2:11" ht="18.5" thickBot="1"/>
    <row r="6" spans="2:11" ht="19" thickTop="1" thickBot="1">
      <c r="C6" s="70" t="s">
        <v>56</v>
      </c>
      <c r="D6" s="71" t="s">
        <v>55</v>
      </c>
      <c r="E6" s="70" t="s">
        <v>36</v>
      </c>
      <c r="F6" s="71" t="s">
        <v>37</v>
      </c>
      <c r="H6" s="46" t="s">
        <v>10</v>
      </c>
      <c r="I6" s="38" t="s">
        <v>11</v>
      </c>
      <c r="J6" s="64"/>
    </row>
    <row r="7" spans="2:11" ht="18.5" thickTop="1">
      <c r="C7" s="69">
        <v>1</v>
      </c>
      <c r="D7" s="54">
        <v>19.8</v>
      </c>
      <c r="E7" s="80"/>
      <c r="F7" s="68"/>
      <c r="H7" s="107" t="s">
        <v>12</v>
      </c>
      <c r="I7" s="123" t="s">
        <v>15</v>
      </c>
      <c r="J7" s="109"/>
    </row>
    <row r="8" spans="2:11" ht="20">
      <c r="C8" s="39">
        <f>C7+1</f>
        <v>2</v>
      </c>
      <c r="D8" s="41">
        <v>20.5</v>
      </c>
      <c r="E8" s="81"/>
      <c r="F8" s="65"/>
      <c r="H8" s="120" t="s">
        <v>34</v>
      </c>
      <c r="I8" s="121" t="s">
        <v>35</v>
      </c>
      <c r="J8" s="122"/>
    </row>
    <row r="9" spans="2:11">
      <c r="C9" s="39">
        <f t="shared" ref="C9:C14" si="0">C8+1</f>
        <v>3</v>
      </c>
      <c r="D9" s="41">
        <v>21.2</v>
      </c>
      <c r="E9" s="81"/>
      <c r="F9" s="65"/>
      <c r="H9" s="72" t="s">
        <v>38</v>
      </c>
      <c r="I9" s="73" t="s">
        <v>39</v>
      </c>
      <c r="J9" s="84"/>
    </row>
    <row r="10" spans="2:11" ht="18.5" thickBot="1">
      <c r="C10" s="39">
        <f t="shared" si="0"/>
        <v>4</v>
      </c>
      <c r="D10" s="41">
        <v>19.5</v>
      </c>
      <c r="E10" s="81"/>
      <c r="F10" s="65"/>
      <c r="H10" s="48" t="s">
        <v>31</v>
      </c>
      <c r="I10" s="43" t="s">
        <v>32</v>
      </c>
      <c r="J10" s="66"/>
      <c r="K10" s="83"/>
    </row>
    <row r="11" spans="2:11" ht="18.5" thickTop="1">
      <c r="C11" s="39">
        <f t="shared" si="0"/>
        <v>5</v>
      </c>
      <c r="D11" s="41">
        <v>20.8</v>
      </c>
      <c r="E11" s="81"/>
      <c r="F11" s="65"/>
      <c r="H11" s="105" t="s">
        <v>21</v>
      </c>
      <c r="I11" s="106" t="s">
        <v>33</v>
      </c>
      <c r="J11" s="101"/>
      <c r="K11" s="83"/>
    </row>
    <row r="12" spans="2:11">
      <c r="C12" s="39">
        <f t="shared" si="0"/>
        <v>6</v>
      </c>
      <c r="D12" s="41">
        <v>20.100000000000001</v>
      </c>
      <c r="E12" s="81"/>
      <c r="F12" s="65"/>
      <c r="H12" s="107" t="s">
        <v>22</v>
      </c>
      <c r="I12" s="108" t="s">
        <v>40</v>
      </c>
      <c r="J12" s="109"/>
      <c r="K12" s="83"/>
    </row>
    <row r="13" spans="2:11" ht="18.5" thickBot="1">
      <c r="C13" s="39">
        <f t="shared" si="0"/>
        <v>7</v>
      </c>
      <c r="D13" s="41">
        <v>21</v>
      </c>
      <c r="E13" s="81"/>
      <c r="F13" s="65"/>
      <c r="H13" s="102" t="s">
        <v>24</v>
      </c>
      <c r="I13" s="103"/>
      <c r="J13" s="104"/>
      <c r="K13" s="83"/>
    </row>
    <row r="14" spans="2:11" ht="19" thickTop="1" thickBot="1">
      <c r="C14" s="42">
        <f t="shared" si="0"/>
        <v>8</v>
      </c>
      <c r="D14" s="44">
        <v>19.899999999999999</v>
      </c>
      <c r="E14" s="82"/>
      <c r="F14" s="66"/>
      <c r="H14" s="116" t="s">
        <v>44</v>
      </c>
      <c r="I14" s="117" t="s">
        <v>51</v>
      </c>
      <c r="J14" s="112"/>
      <c r="K14" s="83"/>
    </row>
    <row r="15" spans="2:11" ht="19" thickTop="1" thickBot="1">
      <c r="H15" s="118" t="s">
        <v>45</v>
      </c>
      <c r="I15" s="119" t="s">
        <v>52</v>
      </c>
      <c r="J15" s="115"/>
      <c r="K15" s="83"/>
    </row>
    <row r="16" spans="2:11" ht="18.5" thickTop="1">
      <c r="H16" s="99" t="s">
        <v>57</v>
      </c>
      <c r="I16" s="100"/>
      <c r="J16" s="101"/>
    </row>
    <row r="17" spans="8:10" ht="18.5" thickBot="1">
      <c r="H17" s="102" t="s">
        <v>58</v>
      </c>
      <c r="I17" s="103"/>
      <c r="J17" s="104"/>
    </row>
    <row r="18" spans="8:10" ht="18.5" thickTop="1">
      <c r="H18" s="110" t="s">
        <v>59</v>
      </c>
      <c r="I18" s="111"/>
      <c r="J18" s="112"/>
    </row>
    <row r="19" spans="8:10" ht="18.5" thickBot="1">
      <c r="H19" s="113" t="s">
        <v>60</v>
      </c>
      <c r="I19" s="114"/>
      <c r="J19" s="115"/>
    </row>
    <row r="20" spans="8:10" ht="18.5" thickTop="1"/>
  </sheetData>
  <mergeCells count="5">
    <mergeCell ref="H13:I13"/>
    <mergeCell ref="H16:I16"/>
    <mergeCell ref="H17:I17"/>
    <mergeCell ref="H18:I18"/>
    <mergeCell ref="H19:I19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C2:M42"/>
  <sheetViews>
    <sheetView showGridLines="0" zoomScale="70" zoomScaleNormal="70" workbookViewId="0"/>
  </sheetViews>
  <sheetFormatPr defaultRowHeight="15" customHeight="1"/>
  <cols>
    <col min="1" max="1" width="8.6640625" style="1"/>
    <col min="2" max="2" width="3.58203125" style="1" customWidth="1"/>
    <col min="3" max="13" width="8.6640625" style="1"/>
    <col min="14" max="14" width="3.58203125" style="1" customWidth="1"/>
    <col min="15" max="16384" width="8.6640625" style="1"/>
  </cols>
  <sheetData>
    <row r="2" spans="3:13" ht="15" customHeight="1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3:13" ht="15" customHeight="1" thickBot="1"/>
    <row r="4" spans="3:13" ht="15" customHeight="1" thickTop="1">
      <c r="C4" s="10" t="s">
        <v>0</v>
      </c>
      <c r="D4" s="11">
        <v>0</v>
      </c>
      <c r="E4" s="11">
        <v>0.01</v>
      </c>
      <c r="F4" s="11">
        <v>0.02</v>
      </c>
      <c r="G4" s="11">
        <v>0.03</v>
      </c>
      <c r="H4" s="11">
        <v>0.04</v>
      </c>
      <c r="I4" s="11">
        <v>0.05</v>
      </c>
      <c r="J4" s="11">
        <v>0.06</v>
      </c>
      <c r="K4" s="11">
        <v>7.0000000000000007E-2</v>
      </c>
      <c r="L4" s="11">
        <v>0.08</v>
      </c>
      <c r="M4" s="12">
        <v>0.09</v>
      </c>
    </row>
    <row r="5" spans="3:13" ht="15" customHeight="1">
      <c r="C5" s="2">
        <v>0</v>
      </c>
      <c r="D5" s="3">
        <f t="shared" ref="D5:M5" si="0">1-_xlfn.NORM.DIST($C5+D$4,0,1,TRUE)</f>
        <v>0.5</v>
      </c>
      <c r="E5" s="3">
        <f t="shared" si="0"/>
        <v>0.4960106436853684</v>
      </c>
      <c r="F5" s="3">
        <f t="shared" si="0"/>
        <v>0.49202168628309795</v>
      </c>
      <c r="G5" s="3">
        <f t="shared" si="0"/>
        <v>0.48803352658588728</v>
      </c>
      <c r="H5" s="3">
        <f t="shared" si="0"/>
        <v>0.48404656314716932</v>
      </c>
      <c r="I5" s="3">
        <f t="shared" si="0"/>
        <v>0.48006119416162751</v>
      </c>
      <c r="J5" s="3">
        <f t="shared" si="0"/>
        <v>0.47607781734589316</v>
      </c>
      <c r="K5" s="3">
        <f t="shared" si="0"/>
        <v>0.47209682981947887</v>
      </c>
      <c r="L5" s="3">
        <f t="shared" si="0"/>
        <v>0.46811862798601256</v>
      </c>
      <c r="M5" s="4">
        <f t="shared" si="0"/>
        <v>0.46414360741482796</v>
      </c>
    </row>
    <row r="6" spans="3:13" ht="15" customHeight="1">
      <c r="C6" s="2"/>
      <c r="D6" s="5"/>
      <c r="E6" s="5"/>
      <c r="F6" s="5"/>
      <c r="G6" s="5"/>
      <c r="H6" s="5"/>
      <c r="I6" s="5"/>
      <c r="J6" s="5"/>
      <c r="K6" s="5"/>
      <c r="L6" s="5"/>
      <c r="M6" s="6"/>
    </row>
    <row r="7" spans="3:13" ht="15" customHeight="1">
      <c r="C7" s="2">
        <v>0.1</v>
      </c>
      <c r="D7" s="3">
        <f t="shared" ref="D7:M11" si="1">1-_xlfn.NORM.DIST($C7+D$4,0,1,TRUE)</f>
        <v>0.46017216272297101</v>
      </c>
      <c r="E7" s="3">
        <f t="shared" si="1"/>
        <v>0.45620468745768328</v>
      </c>
      <c r="F7" s="3">
        <f t="shared" si="1"/>
        <v>0.45224157397941611</v>
      </c>
      <c r="G7" s="3">
        <f t="shared" si="1"/>
        <v>0.44828321334543886</v>
      </c>
      <c r="H7" s="3">
        <f t="shared" si="1"/>
        <v>0.44432999519409355</v>
      </c>
      <c r="I7" s="3">
        <f t="shared" si="1"/>
        <v>0.4403823076297575</v>
      </c>
      <c r="J7" s="3">
        <f t="shared" si="1"/>
        <v>0.43644053710856712</v>
      </c>
      <c r="K7" s="3">
        <f t="shared" si="1"/>
        <v>0.43250506832496161</v>
      </c>
      <c r="L7" s="3">
        <f t="shared" si="1"/>
        <v>0.4285762840990992</v>
      </c>
      <c r="M7" s="4">
        <f t="shared" si="1"/>
        <v>0.42465456526520451</v>
      </c>
    </row>
    <row r="8" spans="3:13" ht="15" customHeight="1">
      <c r="C8" s="2">
        <v>0.2</v>
      </c>
      <c r="D8" s="3">
        <f t="shared" si="1"/>
        <v>0.42074029056089701</v>
      </c>
      <c r="E8" s="3">
        <f t="shared" si="1"/>
        <v>0.41683383651755768</v>
      </c>
      <c r="F8" s="3">
        <f t="shared" si="1"/>
        <v>0.41293557735178532</v>
      </c>
      <c r="G8" s="3">
        <f t="shared" si="1"/>
        <v>0.40904588485799409</v>
      </c>
      <c r="H8" s="3">
        <f t="shared" si="1"/>
        <v>0.40516512830220419</v>
      </c>
      <c r="I8" s="3">
        <f t="shared" si="1"/>
        <v>0.4012936743170763</v>
      </c>
      <c r="J8" s="3">
        <f t="shared" si="1"/>
        <v>0.39743188679823949</v>
      </c>
      <c r="K8" s="3">
        <f t="shared" si="1"/>
        <v>0.39358012680196053</v>
      </c>
      <c r="L8" s="3">
        <f t="shared" si="1"/>
        <v>0.38973875244420275</v>
      </c>
      <c r="M8" s="4">
        <f t="shared" si="1"/>
        <v>0.38590811880112263</v>
      </c>
    </row>
    <row r="9" spans="3:13" ht="15" customHeight="1">
      <c r="C9" s="2">
        <v>0.3</v>
      </c>
      <c r="D9" s="3">
        <f t="shared" si="1"/>
        <v>0.38208857781104733</v>
      </c>
      <c r="E9" s="3">
        <f t="shared" si="1"/>
        <v>0.37828047817798072</v>
      </c>
      <c r="F9" s="3">
        <f t="shared" si="1"/>
        <v>0.37448416527667994</v>
      </c>
      <c r="G9" s="3">
        <f t="shared" si="1"/>
        <v>0.37069998105934654</v>
      </c>
      <c r="H9" s="3">
        <f t="shared" si="1"/>
        <v>0.36692826396397193</v>
      </c>
      <c r="I9" s="3">
        <f t="shared" si="1"/>
        <v>0.3631693488243809</v>
      </c>
      <c r="J9" s="3">
        <f t="shared" si="1"/>
        <v>0.35942356678200871</v>
      </c>
      <c r="K9" s="3">
        <f t="shared" si="1"/>
        <v>0.35569124519945317</v>
      </c>
      <c r="L9" s="3">
        <f t="shared" si="1"/>
        <v>0.35197270757583721</v>
      </c>
      <c r="M9" s="4">
        <f t="shared" si="1"/>
        <v>0.34826827346401756</v>
      </c>
    </row>
    <row r="10" spans="3:13" ht="15" customHeight="1">
      <c r="C10" s="2">
        <v>0.4</v>
      </c>
      <c r="D10" s="3">
        <f t="shared" si="1"/>
        <v>0.34457825838967571</v>
      </c>
      <c r="E10" s="3">
        <f t="shared" si="1"/>
        <v>0.34090297377232259</v>
      </c>
      <c r="F10" s="3">
        <f t="shared" si="1"/>
        <v>0.33724272684824941</v>
      </c>
      <c r="G10" s="3">
        <f t="shared" si="1"/>
        <v>0.33359782059545762</v>
      </c>
      <c r="H10" s="3">
        <f t="shared" si="1"/>
        <v>0.32996855366059363</v>
      </c>
      <c r="I10" s="3">
        <f t="shared" si="1"/>
        <v>0.32635522028791997</v>
      </c>
      <c r="J10" s="3">
        <f t="shared" si="1"/>
        <v>0.32275811025034773</v>
      </c>
      <c r="K10" s="3">
        <f t="shared" si="1"/>
        <v>0.3191775087825558</v>
      </c>
      <c r="L10" s="3">
        <f t="shared" si="1"/>
        <v>0.31561369651622251</v>
      </c>
      <c r="M10" s="4">
        <f t="shared" si="1"/>
        <v>0.31206694941739055</v>
      </c>
    </row>
    <row r="11" spans="3:13" ht="15" customHeight="1">
      <c r="C11" s="2">
        <v>0.5</v>
      </c>
      <c r="D11" s="3">
        <f t="shared" si="1"/>
        <v>0.30853753872598688</v>
      </c>
      <c r="E11" s="3">
        <f t="shared" si="1"/>
        <v>0.30502573089751939</v>
      </c>
      <c r="F11" s="3">
        <f t="shared" si="1"/>
        <v>0.30153178754696619</v>
      </c>
      <c r="G11" s="3">
        <f t="shared" si="1"/>
        <v>0.29805596539487644</v>
      </c>
      <c r="H11" s="3">
        <f t="shared" si="1"/>
        <v>0.29459851621569799</v>
      </c>
      <c r="I11" s="3">
        <f t="shared" si="1"/>
        <v>0.29115968678834636</v>
      </c>
      <c r="J11" s="3">
        <f t="shared" si="1"/>
        <v>0.28773971884902705</v>
      </c>
      <c r="K11" s="3">
        <f t="shared" si="1"/>
        <v>0.28433884904632412</v>
      </c>
      <c r="L11" s="3">
        <f t="shared" si="1"/>
        <v>0.2809573088985643</v>
      </c>
      <c r="M11" s="4">
        <f t="shared" si="1"/>
        <v>0.27759532475346493</v>
      </c>
    </row>
    <row r="12" spans="3:13" ht="15" customHeight="1">
      <c r="C12" s="2"/>
      <c r="D12" s="5"/>
      <c r="E12" s="5"/>
      <c r="F12" s="5"/>
      <c r="G12" s="5"/>
      <c r="H12" s="5"/>
      <c r="I12" s="5"/>
      <c r="J12" s="5"/>
      <c r="K12" s="5"/>
      <c r="L12" s="5"/>
      <c r="M12" s="6"/>
    </row>
    <row r="13" spans="3:13" ht="15" customHeight="1">
      <c r="C13" s="2">
        <v>0.6</v>
      </c>
      <c r="D13" s="3">
        <f t="shared" ref="D13:M17" si="2">1-_xlfn.NORM.DIST($C13+D$4,0,1,TRUE)</f>
        <v>0.27425311775007355</v>
      </c>
      <c r="E13" s="3">
        <f t="shared" si="2"/>
        <v>0.27093090378300566</v>
      </c>
      <c r="F13" s="3">
        <f t="shared" si="2"/>
        <v>0.267628893468983</v>
      </c>
      <c r="G13" s="3">
        <f t="shared" si="2"/>
        <v>0.26434729211567753</v>
      </c>
      <c r="H13" s="3">
        <f t="shared" si="2"/>
        <v>0.26108629969286157</v>
      </c>
      <c r="I13" s="3">
        <f t="shared" si="2"/>
        <v>0.25784611080586473</v>
      </c>
      <c r="J13" s="3">
        <f t="shared" si="2"/>
        <v>0.25462691467133614</v>
      </c>
      <c r="K13" s="3">
        <f t="shared" si="2"/>
        <v>0.25142889509531008</v>
      </c>
      <c r="L13" s="3">
        <f t="shared" si="2"/>
        <v>0.24825223045357048</v>
      </c>
      <c r="M13" s="4">
        <f t="shared" si="2"/>
        <v>0.24509709367430943</v>
      </c>
    </row>
    <row r="14" spans="3:13" ht="15" customHeight="1">
      <c r="C14" s="2">
        <v>0.7</v>
      </c>
      <c r="D14" s="3">
        <f t="shared" si="2"/>
        <v>0.24196365222307303</v>
      </c>
      <c r="E14" s="3">
        <f t="shared" si="2"/>
        <v>0.23885206808998671</v>
      </c>
      <c r="F14" s="3">
        <f t="shared" si="2"/>
        <v>0.23576249777925118</v>
      </c>
      <c r="G14" s="3">
        <f t="shared" si="2"/>
        <v>0.23269509230089747</v>
      </c>
      <c r="H14" s="3">
        <f t="shared" si="2"/>
        <v>0.22964999716479062</v>
      </c>
      <c r="I14" s="3">
        <f t="shared" si="2"/>
        <v>0.22662735237686826</v>
      </c>
      <c r="J14" s="3">
        <f t="shared" si="2"/>
        <v>0.22362729243759938</v>
      </c>
      <c r="K14" s="3">
        <f t="shared" si="2"/>
        <v>0.22064994634264956</v>
      </c>
      <c r="L14" s="3">
        <f t="shared" si="2"/>
        <v>0.21769543758573318</v>
      </c>
      <c r="M14" s="4">
        <f t="shared" si="2"/>
        <v>0.21476388416363723</v>
      </c>
    </row>
    <row r="15" spans="3:13" ht="15" customHeight="1">
      <c r="C15" s="2">
        <v>0.8</v>
      </c>
      <c r="D15" s="3">
        <f t="shared" si="2"/>
        <v>0.21185539858339664</v>
      </c>
      <c r="E15" s="3">
        <f t="shared" si="2"/>
        <v>0.20897008787160165</v>
      </c>
      <c r="F15" s="3">
        <f t="shared" si="2"/>
        <v>0.20610805358581308</v>
      </c>
      <c r="G15" s="3">
        <f t="shared" si="2"/>
        <v>0.20326939182806836</v>
      </c>
      <c r="H15" s="3">
        <f t="shared" si="2"/>
        <v>0.20045419326044966</v>
      </c>
      <c r="I15" s="3">
        <f t="shared" si="2"/>
        <v>0.19766254312269238</v>
      </c>
      <c r="J15" s="3">
        <f t="shared" si="2"/>
        <v>0.19489452125180828</v>
      </c>
      <c r="K15" s="3">
        <f t="shared" si="2"/>
        <v>0.19215020210369615</v>
      </c>
      <c r="L15" s="3">
        <f t="shared" si="2"/>
        <v>0.18942965477671214</v>
      </c>
      <c r="M15" s="4">
        <f t="shared" si="2"/>
        <v>0.18673294303717258</v>
      </c>
    </row>
    <row r="16" spans="3:13" ht="15" customHeight="1">
      <c r="C16" s="2">
        <v>0.9</v>
      </c>
      <c r="D16" s="3">
        <f t="shared" si="2"/>
        <v>0.18406012534675953</v>
      </c>
      <c r="E16" s="3">
        <f t="shared" si="2"/>
        <v>0.18141125489179721</v>
      </c>
      <c r="F16" s="3">
        <f t="shared" si="2"/>
        <v>0.17878637961437172</v>
      </c>
      <c r="G16" s="3">
        <f t="shared" si="2"/>
        <v>0.17618554224525784</v>
      </c>
      <c r="H16" s="3">
        <f t="shared" si="2"/>
        <v>0.17360878033862448</v>
      </c>
      <c r="I16" s="3">
        <f t="shared" si="2"/>
        <v>0.17105612630848177</v>
      </c>
      <c r="J16" s="3">
        <f t="shared" si="2"/>
        <v>0.16852760746683781</v>
      </c>
      <c r="K16" s="3">
        <f t="shared" si="2"/>
        <v>0.16602324606352958</v>
      </c>
      <c r="L16" s="3">
        <f t="shared" si="2"/>
        <v>0.16354305932769231</v>
      </c>
      <c r="M16" s="4">
        <f t="shared" si="2"/>
        <v>0.16108705951083091</v>
      </c>
    </row>
    <row r="17" spans="3:13" ht="15" customHeight="1">
      <c r="C17" s="2">
        <v>1</v>
      </c>
      <c r="D17" s="3">
        <f t="shared" si="2"/>
        <v>0.15865525393145696</v>
      </c>
      <c r="E17" s="3">
        <f t="shared" si="2"/>
        <v>0.15624764502125454</v>
      </c>
      <c r="F17" s="3">
        <f t="shared" si="2"/>
        <v>0.15386423037273489</v>
      </c>
      <c r="G17" s="3">
        <f t="shared" si="2"/>
        <v>0.15150500278834367</v>
      </c>
      <c r="H17" s="3">
        <f t="shared" si="2"/>
        <v>0.14916995033098135</v>
      </c>
      <c r="I17" s="3">
        <f t="shared" si="2"/>
        <v>0.14685905637589591</v>
      </c>
      <c r="J17" s="3">
        <f t="shared" si="2"/>
        <v>0.14457229966390961</v>
      </c>
      <c r="K17" s="3">
        <f t="shared" si="2"/>
        <v>0.14230965435593923</v>
      </c>
      <c r="L17" s="3">
        <f t="shared" si="2"/>
        <v>0.14007109008876906</v>
      </c>
      <c r="M17" s="4">
        <f t="shared" si="2"/>
        <v>0.1378565720320355</v>
      </c>
    </row>
    <row r="18" spans="3:13" ht="15" customHeight="1">
      <c r="C18" s="2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3:13" ht="15" customHeight="1">
      <c r="C19" s="2">
        <v>1.1000000000000001</v>
      </c>
      <c r="D19" s="3">
        <f t="shared" ref="D19:M23" si="3">1-_xlfn.NORM.DIST($C19+D$4,0,1,TRUE)</f>
        <v>0.13566606094638267</v>
      </c>
      <c r="E19" s="3">
        <f t="shared" si="3"/>
        <v>0.13349951324274723</v>
      </c>
      <c r="F19" s="3">
        <f t="shared" si="3"/>
        <v>0.13135688104273069</v>
      </c>
      <c r="G19" s="3">
        <f t="shared" si="3"/>
        <v>0.1292381122400178</v>
      </c>
      <c r="H19" s="3">
        <f t="shared" si="3"/>
        <v>0.12714315056279824</v>
      </c>
      <c r="I19" s="3">
        <f t="shared" si="3"/>
        <v>0.12507193563715013</v>
      </c>
      <c r="J19" s="3">
        <f t="shared" si="3"/>
        <v>0.12302440305134332</v>
      </c>
      <c r="K19" s="3">
        <f t="shared" si="3"/>
        <v>0.12100048442101818</v>
      </c>
      <c r="L19" s="3">
        <f t="shared" si="3"/>
        <v>0.11900010745520062</v>
      </c>
      <c r="M19" s="4">
        <f t="shared" si="3"/>
        <v>0.11702319602310873</v>
      </c>
    </row>
    <row r="20" spans="3:13" ht="15" customHeight="1">
      <c r="C20" s="2">
        <v>1.2</v>
      </c>
      <c r="D20" s="3">
        <f t="shared" si="3"/>
        <v>0.11506967022170822</v>
      </c>
      <c r="E20" s="3">
        <f t="shared" si="3"/>
        <v>0.11313944644397722</v>
      </c>
      <c r="F20" s="3">
        <f t="shared" si="3"/>
        <v>0.11123243744783462</v>
      </c>
      <c r="G20" s="3">
        <f t="shared" si="3"/>
        <v>0.10934855242569186</v>
      </c>
      <c r="H20" s="3">
        <f t="shared" si="3"/>
        <v>0.10748769707458694</v>
      </c>
      <c r="I20" s="3">
        <f t="shared" si="3"/>
        <v>0.10564977366685524</v>
      </c>
      <c r="J20" s="3">
        <f t="shared" si="3"/>
        <v>0.10383468112130034</v>
      </c>
      <c r="K20" s="3">
        <f t="shared" si="3"/>
        <v>0.10204231507481909</v>
      </c>
      <c r="L20" s="3">
        <f t="shared" si="3"/>
        <v>0.10027256795444206</v>
      </c>
      <c r="M20" s="4">
        <f t="shared" si="3"/>
        <v>9.8525329049747867E-2</v>
      </c>
    </row>
    <row r="21" spans="3:13" ht="15" customHeight="1">
      <c r="C21" s="2">
        <v>1.3</v>
      </c>
      <c r="D21" s="3">
        <f t="shared" si="3"/>
        <v>9.6800484585610302E-2</v>
      </c>
      <c r="E21" s="3">
        <f t="shared" si="3"/>
        <v>9.5097917795239018E-2</v>
      </c>
      <c r="F21" s="3">
        <f t="shared" si="3"/>
        <v>9.3417508993471787E-2</v>
      </c>
      <c r="G21" s="3">
        <f t="shared" si="3"/>
        <v>9.1759135650280821E-2</v>
      </c>
      <c r="H21" s="3">
        <f t="shared" si="3"/>
        <v>9.0122672464452491E-2</v>
      </c>
      <c r="I21" s="3">
        <f t="shared" si="3"/>
        <v>8.8507991437401956E-2</v>
      </c>
      <c r="J21" s="3">
        <f t="shared" si="3"/>
        <v>8.6914961947085034E-2</v>
      </c>
      <c r="K21" s="3">
        <f t="shared" si="3"/>
        <v>8.5343450821966926E-2</v>
      </c>
      <c r="L21" s="3">
        <f t="shared" si="3"/>
        <v>8.3793322415014249E-2</v>
      </c>
      <c r="M21" s="4">
        <f t="shared" si="3"/>
        <v>8.2264438677668861E-2</v>
      </c>
    </row>
    <row r="22" spans="3:13" ht="15" customHeight="1">
      <c r="C22" s="2">
        <v>1.4</v>
      </c>
      <c r="D22" s="3">
        <f t="shared" si="3"/>
        <v>8.0756659233771066E-2</v>
      </c>
      <c r="E22" s="3">
        <f t="shared" si="3"/>
        <v>7.9269841453392442E-2</v>
      </c>
      <c r="F22" s="3">
        <f t="shared" si="3"/>
        <v>7.780384052654632E-2</v>
      </c>
      <c r="G22" s="3">
        <f t="shared" si="3"/>
        <v>7.6358509536739172E-2</v>
      </c>
      <c r="H22" s="3">
        <f t="shared" si="3"/>
        <v>7.4933699534327047E-2</v>
      </c>
      <c r="I22" s="3">
        <f t="shared" si="3"/>
        <v>7.3529259609648401E-2</v>
      </c>
      <c r="J22" s="3">
        <f t="shared" si="3"/>
        <v>7.2145036965893805E-2</v>
      </c>
      <c r="K22" s="3">
        <f t="shared" si="3"/>
        <v>7.078087699168556E-2</v>
      </c>
      <c r="L22" s="3">
        <f t="shared" si="3"/>
        <v>6.9436623333331671E-2</v>
      </c>
      <c r="M22" s="4">
        <f t="shared" si="3"/>
        <v>6.8112117966725449E-2</v>
      </c>
    </row>
    <row r="23" spans="3:13" ht="15" customHeight="1">
      <c r="C23" s="2">
        <v>1.5</v>
      </c>
      <c r="D23" s="3">
        <f t="shared" si="3"/>
        <v>6.6807201268858085E-2</v>
      </c>
      <c r="E23" s="3">
        <f t="shared" si="3"/>
        <v>6.5521712088916439E-2</v>
      </c>
      <c r="F23" s="3">
        <f t="shared" si="3"/>
        <v>6.4255487818935753E-2</v>
      </c>
      <c r="G23" s="3">
        <f t="shared" si="3"/>
        <v>6.3008364463978395E-2</v>
      </c>
      <c r="H23" s="3">
        <f t="shared" si="3"/>
        <v>6.1780176711811907E-2</v>
      </c>
      <c r="I23" s="3">
        <f t="shared" si="3"/>
        <v>6.0570758002059022E-2</v>
      </c>
      <c r="J23" s="3">
        <f t="shared" si="3"/>
        <v>5.9379940594793013E-2</v>
      </c>
      <c r="K23" s="3">
        <f t="shared" si="3"/>
        <v>5.8207555638553066E-2</v>
      </c>
      <c r="L23" s="3">
        <f t="shared" si="3"/>
        <v>5.7053433237754136E-2</v>
      </c>
      <c r="M23" s="4">
        <f t="shared" si="3"/>
        <v>5.5917402519469417E-2</v>
      </c>
    </row>
    <row r="24" spans="3:13" ht="15" customHeight="1">
      <c r="C24" s="2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3:13" ht="15" customHeight="1">
      <c r="C25" s="2">
        <v>1.6</v>
      </c>
      <c r="D25" s="3">
        <f t="shared" ref="D25:M29" si="4">1-_xlfn.NORM.DIST($C25+D$4,0,1,TRUE)</f>
        <v>5.4799291699557995E-2</v>
      </c>
      <c r="E25" s="3">
        <f t="shared" si="4"/>
        <v>5.3698928148119718E-2</v>
      </c>
      <c r="F25" s="3">
        <f t="shared" si="4"/>
        <v>5.2616138454252059E-2</v>
      </c>
      <c r="G25" s="3">
        <f t="shared" si="4"/>
        <v>5.1550748490089338E-2</v>
      </c>
      <c r="H25" s="3">
        <f t="shared" si="4"/>
        <v>5.0502583474103746E-2</v>
      </c>
      <c r="I25" s="3">
        <f t="shared" si="4"/>
        <v>4.9471468033648103E-2</v>
      </c>
      <c r="J25" s="3">
        <f t="shared" si="4"/>
        <v>4.8457226266722775E-2</v>
      </c>
      <c r="K25" s="3">
        <f t="shared" si="4"/>
        <v>4.7459681802947351E-2</v>
      </c>
      <c r="L25" s="3">
        <f t="shared" si="4"/>
        <v>4.6478657863719963E-2</v>
      </c>
      <c r="M25" s="4">
        <f t="shared" si="4"/>
        <v>4.5513977321549826E-2</v>
      </c>
    </row>
    <row r="26" spans="3:13" ht="15" customHeight="1">
      <c r="C26" s="2">
        <v>1.7</v>
      </c>
      <c r="D26" s="3">
        <f t="shared" si="4"/>
        <v>4.4565462758543006E-2</v>
      </c>
      <c r="E26" s="3">
        <f t="shared" si="4"/>
        <v>4.3632936524031884E-2</v>
      </c>
      <c r="F26" s="3">
        <f t="shared" si="4"/>
        <v>4.2716220791328863E-2</v>
      </c>
      <c r="G26" s="3">
        <f t="shared" si="4"/>
        <v>4.1815137613594899E-2</v>
      </c>
      <c r="H26" s="3">
        <f t="shared" si="4"/>
        <v>4.0929508978807316E-2</v>
      </c>
      <c r="I26" s="3">
        <f t="shared" si="4"/>
        <v>4.0059156863817114E-2</v>
      </c>
      <c r="J26" s="3">
        <f t="shared" si="4"/>
        <v>3.9203903287482689E-2</v>
      </c>
      <c r="K26" s="3">
        <f t="shared" si="4"/>
        <v>3.8363570362871191E-2</v>
      </c>
      <c r="L26" s="3">
        <f t="shared" si="4"/>
        <v>3.7537980348516742E-2</v>
      </c>
      <c r="M26" s="4">
        <f t="shared" si="4"/>
        <v>3.6726955698726305E-2</v>
      </c>
    </row>
    <row r="27" spans="3:13" ht="15" customHeight="1">
      <c r="C27" s="2">
        <v>1.8</v>
      </c>
      <c r="D27" s="3">
        <f t="shared" si="4"/>
        <v>3.5930319112925768E-2</v>
      </c>
      <c r="E27" s="3">
        <f t="shared" si="4"/>
        <v>3.5147893584038803E-2</v>
      </c>
      <c r="F27" s="3">
        <f t="shared" si="4"/>
        <v>3.4379502445889942E-2</v>
      </c>
      <c r="G27" s="3">
        <f t="shared" si="4"/>
        <v>3.3624969419628337E-2</v>
      </c>
      <c r="H27" s="3">
        <f t="shared" si="4"/>
        <v>3.2884118659163852E-2</v>
      </c>
      <c r="I27" s="3">
        <f t="shared" si="4"/>
        <v>3.2156774795613741E-2</v>
      </c>
      <c r="J27" s="3">
        <f t="shared" si="4"/>
        <v>3.1442762980752659E-2</v>
      </c>
      <c r="K27" s="3">
        <f t="shared" si="4"/>
        <v>3.0741908929465933E-2</v>
      </c>
      <c r="L27" s="3">
        <f t="shared" si="4"/>
        <v>3.0054038961199736E-2</v>
      </c>
      <c r="M27" s="4">
        <f t="shared" si="4"/>
        <v>2.9378980040409397E-2</v>
      </c>
    </row>
    <row r="28" spans="3:13" ht="15" customHeight="1">
      <c r="C28" s="2">
        <v>1.9</v>
      </c>
      <c r="D28" s="3">
        <f t="shared" si="4"/>
        <v>2.8716559816001852E-2</v>
      </c>
      <c r="E28" s="3">
        <f t="shared" si="4"/>
        <v>2.8066606659772564E-2</v>
      </c>
      <c r="F28" s="3">
        <f t="shared" si="4"/>
        <v>2.7428949703836802E-2</v>
      </c>
      <c r="G28" s="3">
        <f t="shared" si="4"/>
        <v>2.6803418877054952E-2</v>
      </c>
      <c r="H28" s="3">
        <f t="shared" si="4"/>
        <v>2.6189844940452733E-2</v>
      </c>
      <c r="I28" s="3">
        <f t="shared" si="4"/>
        <v>2.5588059521638562E-2</v>
      </c>
      <c r="J28" s="3">
        <f t="shared" si="4"/>
        <v>2.4997895148220484E-2</v>
      </c>
      <c r="K28" s="3">
        <f t="shared" si="4"/>
        <v>2.4419185280222577E-2</v>
      </c>
      <c r="L28" s="3">
        <f t="shared" si="4"/>
        <v>2.3851764341508486E-2</v>
      </c>
      <c r="M28" s="4">
        <f t="shared" si="4"/>
        <v>2.3295467750211851E-2</v>
      </c>
    </row>
    <row r="29" spans="3:13" ht="15" customHeight="1">
      <c r="C29" s="2">
        <v>2</v>
      </c>
      <c r="D29" s="3">
        <f t="shared" si="4"/>
        <v>2.2750131948179209E-2</v>
      </c>
      <c r="E29" s="3">
        <f t="shared" si="4"/>
        <v>2.221559442943144E-2</v>
      </c>
      <c r="F29" s="3">
        <f t="shared" si="4"/>
        <v>2.1691693767646791E-2</v>
      </c>
      <c r="G29" s="3">
        <f t="shared" si="4"/>
        <v>2.1178269642672221E-2</v>
      </c>
      <c r="H29" s="3">
        <f t="shared" si="4"/>
        <v>2.0675162866070074E-2</v>
      </c>
      <c r="I29" s="3">
        <f t="shared" si="4"/>
        <v>2.0182215405704418E-2</v>
      </c>
      <c r="J29" s="3">
        <f t="shared" si="4"/>
        <v>1.9699270409376912E-2</v>
      </c>
      <c r="K29" s="3">
        <f t="shared" si="4"/>
        <v>1.9226172227517324E-2</v>
      </c>
      <c r="L29" s="3">
        <f t="shared" si="4"/>
        <v>1.8762766434937794E-2</v>
      </c>
      <c r="M29" s="4">
        <f t="shared" si="4"/>
        <v>1.8308899851658955E-2</v>
      </c>
    </row>
    <row r="30" spans="3:13" ht="15" customHeight="1">
      <c r="C30" s="2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3:13" ht="15" customHeight="1">
      <c r="C31" s="2">
        <v>2.1</v>
      </c>
      <c r="D31" s="3">
        <f t="shared" ref="D31:M35" si="5">1-_xlfn.NORM.DIST($C31+D$4,0,1,TRUE)</f>
        <v>1.7864420562816563E-2</v>
      </c>
      <c r="E31" s="3">
        <f t="shared" si="5"/>
        <v>1.7429177937657081E-2</v>
      </c>
      <c r="F31" s="3">
        <f t="shared" si="5"/>
        <v>1.700302264763276E-2</v>
      </c>
      <c r="G31" s="3">
        <f t="shared" si="5"/>
        <v>1.6585806683604987E-2</v>
      </c>
      <c r="H31" s="3">
        <f t="shared" si="5"/>
        <v>1.6177383372166121E-2</v>
      </c>
      <c r="I31" s="3">
        <f t="shared" si="5"/>
        <v>1.5777607391090465E-2</v>
      </c>
      <c r="J31" s="3">
        <f t="shared" si="5"/>
        <v>1.5386334783925482E-2</v>
      </c>
      <c r="K31" s="3">
        <f t="shared" si="5"/>
        <v>1.500342297373225E-2</v>
      </c>
      <c r="L31" s="3">
        <f t="shared" si="5"/>
        <v>1.4628730775989252E-2</v>
      </c>
      <c r="M31" s="4">
        <f t="shared" si="5"/>
        <v>1.4262118410668823E-2</v>
      </c>
    </row>
    <row r="32" spans="3:13" ht="15" customHeight="1">
      <c r="C32" s="2">
        <v>2.2000000000000002</v>
      </c>
      <c r="D32" s="3">
        <f t="shared" si="5"/>
        <v>1.390344751349859E-2</v>
      </c>
      <c r="E32" s="3">
        <f t="shared" si="5"/>
        <v>1.3552581146419995E-2</v>
      </c>
      <c r="F32" s="3">
        <f t="shared" si="5"/>
        <v>1.3209383807256225E-2</v>
      </c>
      <c r="G32" s="3">
        <f t="shared" si="5"/>
        <v>1.2873721438601993E-2</v>
      </c>
      <c r="H32" s="3">
        <f t="shared" si="5"/>
        <v>1.2545461435946592E-2</v>
      </c>
      <c r="I32" s="3">
        <f t="shared" si="5"/>
        <v>1.2224472655044671E-2</v>
      </c>
      <c r="J32" s="3">
        <f t="shared" si="5"/>
        <v>1.1910625418547038E-2</v>
      </c>
      <c r="K32" s="3">
        <f t="shared" si="5"/>
        <v>1.1603791521903495E-2</v>
      </c>
      <c r="L32" s="3">
        <f t="shared" si="5"/>
        <v>1.1303844238552796E-2</v>
      </c>
      <c r="M32" s="4">
        <f t="shared" si="5"/>
        <v>1.1010658324411393E-2</v>
      </c>
    </row>
    <row r="33" spans="3:13" ht="15" customHeight="1">
      <c r="C33" s="2">
        <v>2.2999999999999998</v>
      </c>
      <c r="D33" s="3">
        <f t="shared" si="5"/>
        <v>1.0724110021675837E-2</v>
      </c>
      <c r="E33" s="3">
        <f t="shared" si="5"/>
        <v>1.0444077061951051E-2</v>
      </c>
      <c r="F33" s="3">
        <f t="shared" si="5"/>
        <v>1.0170438668719695E-2</v>
      </c>
      <c r="G33" s="3">
        <f t="shared" si="5"/>
        <v>9.9030755591642539E-3</v>
      </c>
      <c r="H33" s="3">
        <f t="shared" si="5"/>
        <v>9.6418699453583168E-3</v>
      </c>
      <c r="I33" s="3">
        <f t="shared" si="5"/>
        <v>9.3867055348385575E-3</v>
      </c>
      <c r="J33" s="3">
        <f t="shared" si="5"/>
        <v>9.1374675305726516E-3</v>
      </c>
      <c r="K33" s="3">
        <f t="shared" si="5"/>
        <v>8.8940426303367737E-3</v>
      </c>
      <c r="L33" s="3">
        <f t="shared" si="5"/>
        <v>8.6563190255165567E-3</v>
      </c>
      <c r="M33" s="4">
        <f t="shared" si="5"/>
        <v>8.4241863993457233E-3</v>
      </c>
    </row>
    <row r="34" spans="3:13" ht="15" customHeight="1">
      <c r="C34" s="2">
        <v>2.4</v>
      </c>
      <c r="D34" s="3">
        <f t="shared" si="5"/>
        <v>8.1975359245961554E-3</v>
      </c>
      <c r="E34" s="3">
        <f t="shared" si="5"/>
        <v>7.9762602607337252E-3</v>
      </c>
      <c r="F34" s="3">
        <f t="shared" si="5"/>
        <v>7.760253550553653E-3</v>
      </c>
      <c r="G34" s="3">
        <f t="shared" si="5"/>
        <v>7.5494114163091597E-3</v>
      </c>
      <c r="H34" s="3">
        <f t="shared" si="5"/>
        <v>7.3436309553482904E-3</v>
      </c>
      <c r="I34" s="3">
        <f t="shared" si="5"/>
        <v>7.1428107352714543E-3</v>
      </c>
      <c r="J34" s="3">
        <f t="shared" si="5"/>
        <v>6.9468507886243369E-3</v>
      </c>
      <c r="K34" s="3">
        <f t="shared" si="5"/>
        <v>6.7556526071406164E-3</v>
      </c>
      <c r="L34" s="3">
        <f t="shared" si="5"/>
        <v>6.5691191355468082E-3</v>
      </c>
      <c r="M34" s="4">
        <f t="shared" si="5"/>
        <v>6.3871547649432259E-3</v>
      </c>
    </row>
    <row r="35" spans="3:13" ht="15" customHeight="1">
      <c r="C35" s="2">
        <v>2.5</v>
      </c>
      <c r="D35" s="3">
        <f t="shared" si="5"/>
        <v>6.2096653257761592E-3</v>
      </c>
      <c r="E35" s="3">
        <f t="shared" si="5"/>
        <v>6.0365580804127017E-3</v>
      </c>
      <c r="F35" s="3">
        <f t="shared" si="5"/>
        <v>5.8677417153325528E-3</v>
      </c>
      <c r="G35" s="3">
        <f t="shared" si="5"/>
        <v>5.7031263329506698E-3</v>
      </c>
      <c r="H35" s="3">
        <f t="shared" si="5"/>
        <v>5.5426234430826504E-3</v>
      </c>
      <c r="I35" s="3">
        <f t="shared" si="5"/>
        <v>5.3861459540667234E-3</v>
      </c>
      <c r="J35" s="3">
        <f t="shared" si="5"/>
        <v>5.2336081635557807E-3</v>
      </c>
      <c r="K35" s="3">
        <f t="shared" si="5"/>
        <v>5.0849257489909983E-3</v>
      </c>
      <c r="L35" s="3">
        <f t="shared" si="5"/>
        <v>4.9400157577705883E-3</v>
      </c>
      <c r="M35" s="4">
        <f t="shared" si="5"/>
        <v>4.7987965971262314E-3</v>
      </c>
    </row>
    <row r="36" spans="3:13" ht="15" customHeight="1">
      <c r="C36" s="2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3:13" ht="15" customHeight="1">
      <c r="C37" s="2">
        <v>2.6</v>
      </c>
      <c r="D37" s="3">
        <f t="shared" ref="D37:M41" si="6">1-_xlfn.NORM.DIST($C37+D$4,0,1,TRUE)</f>
        <v>4.661188023718732E-3</v>
      </c>
      <c r="E37" s="3">
        <f t="shared" si="6"/>
        <v>4.5271111329673319E-3</v>
      </c>
      <c r="F37" s="3">
        <f t="shared" si="6"/>
        <v>4.3964883481213413E-3</v>
      </c>
      <c r="G37" s="3">
        <f t="shared" si="6"/>
        <v>4.2692434090892961E-3</v>
      </c>
      <c r="H37" s="3">
        <f t="shared" si="6"/>
        <v>4.14530136103608E-3</v>
      </c>
      <c r="I37" s="3">
        <f t="shared" si="6"/>
        <v>4.0245885427583339E-3</v>
      </c>
      <c r="J37" s="3">
        <f t="shared" si="6"/>
        <v>3.907032574852809E-3</v>
      </c>
      <c r="K37" s="3">
        <f t="shared" si="6"/>
        <v>3.7925623476854353E-3</v>
      </c>
      <c r="L37" s="3">
        <f t="shared" si="6"/>
        <v>3.6811080091749826E-3</v>
      </c>
      <c r="M37" s="4">
        <f t="shared" si="6"/>
        <v>3.5726009523997515E-3</v>
      </c>
    </row>
    <row r="38" spans="3:13" ht="15" customHeight="1">
      <c r="C38" s="2">
        <v>2.7</v>
      </c>
      <c r="D38" s="3">
        <f t="shared" si="6"/>
        <v>3.4669738030406183E-3</v>
      </c>
      <c r="E38" s="3">
        <f t="shared" si="6"/>
        <v>3.3641604066692032E-3</v>
      </c>
      <c r="F38" s="3">
        <f t="shared" si="6"/>
        <v>3.2640958158912659E-3</v>
      </c>
      <c r="G38" s="3">
        <f t="shared" si="6"/>
        <v>3.1667162773577617E-3</v>
      </c>
      <c r="H38" s="3">
        <f t="shared" si="6"/>
        <v>3.0719592186504441E-3</v>
      </c>
      <c r="I38" s="3">
        <f t="shared" si="6"/>
        <v>2.9797632350545555E-3</v>
      </c>
      <c r="J38" s="3">
        <f t="shared" si="6"/>
        <v>2.8900680762261599E-3</v>
      </c>
      <c r="K38" s="3">
        <f t="shared" si="6"/>
        <v>2.8028146327649939E-3</v>
      </c>
      <c r="L38" s="3">
        <f t="shared" si="6"/>
        <v>2.7179449227012764E-3</v>
      </c>
      <c r="M38" s="4">
        <f t="shared" si="6"/>
        <v>2.6354020779049137E-3</v>
      </c>
    </row>
    <row r="39" spans="3:13" ht="15" customHeight="1">
      <c r="C39" s="2">
        <v>2.8</v>
      </c>
      <c r="D39" s="3">
        <f t="shared" si="6"/>
        <v>2.5551303304279793E-3</v>
      </c>
      <c r="E39" s="3">
        <f t="shared" si="6"/>
        <v>2.4770749987859109E-3</v>
      </c>
      <c r="F39" s="3">
        <f t="shared" si="6"/>
        <v>2.4011824741893006E-3</v>
      </c>
      <c r="G39" s="3">
        <f t="shared" si="6"/>
        <v>2.3274002067315003E-3</v>
      </c>
      <c r="H39" s="3">
        <f t="shared" si="6"/>
        <v>2.2556766915423632E-3</v>
      </c>
      <c r="I39" s="3">
        <f t="shared" si="6"/>
        <v>2.1859614549132322E-3</v>
      </c>
      <c r="J39" s="3">
        <f t="shared" si="6"/>
        <v>2.1182050404046082E-3</v>
      </c>
      <c r="K39" s="3">
        <f t="shared" si="6"/>
        <v>2.0523589949397181E-3</v>
      </c>
      <c r="L39" s="3">
        <f t="shared" si="6"/>
        <v>1.9883758548943087E-3</v>
      </c>
      <c r="M39" s="4">
        <f t="shared" si="6"/>
        <v>1.9262091321878838E-3</v>
      </c>
    </row>
    <row r="40" spans="3:13" ht="15" customHeight="1">
      <c r="C40" s="2">
        <v>2.9</v>
      </c>
      <c r="D40" s="3">
        <f t="shared" si="6"/>
        <v>1.8658133003840449E-3</v>
      </c>
      <c r="E40" s="3">
        <f t="shared" si="6"/>
        <v>1.8071437808064861E-3</v>
      </c>
      <c r="F40" s="3">
        <f t="shared" si="6"/>
        <v>1.7501569286760832E-3</v>
      </c>
      <c r="G40" s="3">
        <f t="shared" si="6"/>
        <v>1.694810019277293E-3</v>
      </c>
      <c r="H40" s="3">
        <f t="shared" si="6"/>
        <v>1.6410612341569708E-3</v>
      </c>
      <c r="I40" s="3">
        <f t="shared" si="6"/>
        <v>1.5888696473648212E-3</v>
      </c>
      <c r="J40" s="3">
        <f t="shared" si="6"/>
        <v>1.538195211738036E-3</v>
      </c>
      <c r="K40" s="3">
        <f t="shared" si="6"/>
        <v>1.4889987452374465E-3</v>
      </c>
      <c r="L40" s="3">
        <f t="shared" si="6"/>
        <v>1.4412419173399638E-3</v>
      </c>
      <c r="M40" s="4">
        <f t="shared" si="6"/>
        <v>1.3948872354923036E-3</v>
      </c>
    </row>
    <row r="41" spans="3:13" ht="15" customHeight="1" thickBot="1">
      <c r="C41" s="7">
        <v>3</v>
      </c>
      <c r="D41" s="8">
        <f t="shared" si="6"/>
        <v>1.3498980316301035E-3</v>
      </c>
      <c r="E41" s="8">
        <f t="shared" si="6"/>
        <v>1.3062384487694256E-3</v>
      </c>
      <c r="F41" s="8">
        <f t="shared" si="6"/>
        <v>1.2638734276723129E-3</v>
      </c>
      <c r="G41" s="8">
        <f t="shared" si="6"/>
        <v>1.2227686935922799E-3</v>
      </c>
      <c r="H41" s="8">
        <f t="shared" si="6"/>
        <v>1.1828907431044033E-3</v>
      </c>
      <c r="I41" s="8">
        <f t="shared" si="6"/>
        <v>1.1442068310226761E-3</v>
      </c>
      <c r="J41" s="8">
        <f t="shared" si="6"/>
        <v>1.1066849574092874E-3</v>
      </c>
      <c r="K41" s="8">
        <f t="shared" si="6"/>
        <v>1.0702938546789387E-3</v>
      </c>
      <c r="L41" s="8">
        <f t="shared" si="6"/>
        <v>1.0350029748028566E-3</v>
      </c>
      <c r="M41" s="9">
        <f t="shared" si="6"/>
        <v>1.0007824766140594E-3</v>
      </c>
    </row>
    <row r="42" spans="3:13" ht="15" customHeight="1" thickTop="1"/>
  </sheetData>
  <mergeCells count="1">
    <mergeCell ref="C2:M2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defaultRowHeight="15" customHeight="1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>
      <c r="C2" s="22" t="s">
        <v>2</v>
      </c>
      <c r="D2" s="22"/>
      <c r="E2" s="22"/>
      <c r="F2" s="22"/>
      <c r="G2" s="22"/>
      <c r="H2" s="22"/>
      <c r="I2" s="22"/>
      <c r="J2" s="22"/>
      <c r="K2" s="22"/>
      <c r="L2" s="22"/>
    </row>
    <row r="3" spans="3:12" ht="15" customHeight="1" thickBot="1"/>
    <row r="4" spans="3:12" ht="15" customHeight="1" thickTop="1">
      <c r="C4" s="13"/>
      <c r="D4" s="14" t="s">
        <v>3</v>
      </c>
      <c r="E4" s="25">
        <v>0.25</v>
      </c>
      <c r="F4" s="25">
        <v>0.2</v>
      </c>
      <c r="G4" s="25">
        <v>0.1</v>
      </c>
      <c r="H4" s="25">
        <v>0.05</v>
      </c>
      <c r="I4" s="25">
        <v>2.5000000000000001E-2</v>
      </c>
      <c r="J4" s="25">
        <v>0.01</v>
      </c>
      <c r="K4" s="25">
        <v>5.0000000000000001E-3</v>
      </c>
      <c r="L4" s="27">
        <v>5.0000000000000001E-4</v>
      </c>
    </row>
    <row r="5" spans="3:12" ht="15" customHeight="1">
      <c r="C5" s="15" t="s">
        <v>4</v>
      </c>
      <c r="D5" s="16"/>
      <c r="E5" s="26"/>
      <c r="F5" s="26"/>
      <c r="G5" s="26"/>
      <c r="H5" s="26"/>
      <c r="I5" s="26"/>
      <c r="J5" s="26"/>
      <c r="K5" s="26"/>
      <c r="L5" s="28"/>
    </row>
    <row r="6" spans="3:12" ht="15" customHeight="1">
      <c r="C6" s="23">
        <v>1</v>
      </c>
      <c r="D6" s="24"/>
      <c r="E6" s="3">
        <f t="shared" ref="E6:L10" si="0">ABS(_xlfn.T.INV(E$4,$C6))</f>
        <v>1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12.706204736174707</v>
      </c>
      <c r="J6" s="3">
        <f t="shared" si="0"/>
        <v>31.820515953773956</v>
      </c>
      <c r="K6" s="3">
        <f t="shared" si="0"/>
        <v>63.656741162871583</v>
      </c>
      <c r="L6" s="17">
        <f t="shared" si="0"/>
        <v>636.61924876871956</v>
      </c>
    </row>
    <row r="7" spans="3:12" ht="15" customHeight="1">
      <c r="C7" s="23">
        <v>2</v>
      </c>
      <c r="D7" s="24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>
      <c r="C8" s="23">
        <v>3</v>
      </c>
      <c r="D8" s="24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>
      <c r="C9" s="23">
        <v>4</v>
      </c>
      <c r="D9" s="24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>
      <c r="C10" s="23">
        <v>5</v>
      </c>
      <c r="D10" s="24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>
      <c r="C11" s="23"/>
      <c r="D11" s="24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23">
        <v>6</v>
      </c>
      <c r="D12" s="24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>
      <c r="C13" s="23">
        <v>7</v>
      </c>
      <c r="D13" s="24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>
      <c r="C14" s="23">
        <v>8</v>
      </c>
      <c r="D14" s="24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>
      <c r="C15" s="23">
        <v>9</v>
      </c>
      <c r="D15" s="24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>
      <c r="C16" s="23">
        <v>10</v>
      </c>
      <c r="D16" s="24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>
      <c r="C17" s="23"/>
      <c r="D17" s="24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23">
        <v>11</v>
      </c>
      <c r="D18" s="24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>
      <c r="C19" s="23">
        <v>12</v>
      </c>
      <c r="D19" s="24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>
      <c r="C20" s="23">
        <v>13</v>
      </c>
      <c r="D20" s="24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>
      <c r="C21" s="23">
        <v>14</v>
      </c>
      <c r="D21" s="24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>
      <c r="C22" s="23">
        <v>15</v>
      </c>
      <c r="D22" s="24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>
      <c r="C23" s="23"/>
      <c r="D23" s="24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23">
        <v>16</v>
      </c>
      <c r="D24" s="24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>
      <c r="C25" s="23">
        <v>17</v>
      </c>
      <c r="D25" s="24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>
      <c r="C26" s="23">
        <v>18</v>
      </c>
      <c r="D26" s="24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>
      <c r="C27" s="23">
        <v>19</v>
      </c>
      <c r="D27" s="24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>
      <c r="C28" s="23">
        <v>20</v>
      </c>
      <c r="D28" s="24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>
      <c r="C29" s="23"/>
      <c r="D29" s="24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23">
        <v>21</v>
      </c>
      <c r="D30" s="24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>
      <c r="C31" s="23">
        <v>22</v>
      </c>
      <c r="D31" s="24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>
      <c r="C32" s="23">
        <v>23</v>
      </c>
      <c r="D32" s="24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>
      <c r="C33" s="23">
        <v>24</v>
      </c>
      <c r="D33" s="24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>
      <c r="C34" s="23">
        <v>25</v>
      </c>
      <c r="D34" s="24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>
      <c r="C35" s="23"/>
      <c r="D35" s="24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23">
        <v>26</v>
      </c>
      <c r="D36" s="24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>
      <c r="C37" s="23">
        <v>27</v>
      </c>
      <c r="D37" s="24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>
      <c r="C38" s="23">
        <v>28</v>
      </c>
      <c r="D38" s="24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>
      <c r="C39" s="23">
        <v>29</v>
      </c>
      <c r="D39" s="24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>
      <c r="C40" s="23">
        <v>30</v>
      </c>
      <c r="D40" s="24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>
      <c r="C41" s="23"/>
      <c r="D41" s="24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23">
        <v>40</v>
      </c>
      <c r="D42" s="24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>
      <c r="C43" s="23">
        <v>60</v>
      </c>
      <c r="D43" s="24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>
      <c r="C44" s="23">
        <v>120</v>
      </c>
      <c r="D44" s="24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>
      <c r="C45" s="23">
        <v>200</v>
      </c>
      <c r="D45" s="24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>
      <c r="C46" s="29" t="s">
        <v>5</v>
      </c>
      <c r="D46" s="30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/>
  </sheetData>
  <mergeCells count="50"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27:D27"/>
    <mergeCell ref="C28:D28"/>
    <mergeCell ref="C29:D29"/>
    <mergeCell ref="C30:D30"/>
    <mergeCell ref="C31:D31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2:L2"/>
    <mergeCell ref="C6:D6"/>
    <mergeCell ref="C7:D7"/>
    <mergeCell ref="C8:D8"/>
    <mergeCell ref="I4:I5"/>
    <mergeCell ref="J4:J5"/>
    <mergeCell ref="K4:K5"/>
    <mergeCell ref="L4:L5"/>
    <mergeCell ref="H4:H5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zoomScale="70" zoomScaleNormal="70" workbookViewId="0"/>
  </sheetViews>
  <sheetFormatPr defaultRowHeight="15" customHeight="1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>
      <c r="C2" s="22" t="s">
        <v>6</v>
      </c>
      <c r="D2" s="22"/>
      <c r="E2" s="22"/>
      <c r="F2" s="22"/>
      <c r="G2" s="22"/>
      <c r="H2" s="22"/>
      <c r="I2" s="22"/>
      <c r="J2" s="22"/>
      <c r="K2" s="22"/>
      <c r="L2" s="22"/>
    </row>
    <row r="3" spans="3:12" ht="15" customHeight="1" thickBot="1"/>
    <row r="4" spans="3:12" ht="15" customHeight="1" thickTop="1">
      <c r="C4" s="13"/>
      <c r="D4" s="14" t="s">
        <v>3</v>
      </c>
      <c r="E4" s="25">
        <v>0.995</v>
      </c>
      <c r="F4" s="25">
        <v>0.99</v>
      </c>
      <c r="G4" s="25">
        <v>0.97499999999999998</v>
      </c>
      <c r="H4" s="25">
        <v>0.95</v>
      </c>
      <c r="I4" s="25">
        <v>0.05</v>
      </c>
      <c r="J4" s="25">
        <v>2.5000000000000001E-2</v>
      </c>
      <c r="K4" s="25">
        <v>0.01</v>
      </c>
      <c r="L4" s="31">
        <v>5.0000000000000001E-3</v>
      </c>
    </row>
    <row r="5" spans="3:12" ht="15" customHeight="1">
      <c r="C5" s="15" t="s">
        <v>4</v>
      </c>
      <c r="D5" s="16"/>
      <c r="E5" s="26"/>
      <c r="F5" s="26"/>
      <c r="G5" s="26"/>
      <c r="H5" s="26"/>
      <c r="I5" s="26"/>
      <c r="J5" s="26"/>
      <c r="K5" s="26"/>
      <c r="L5" s="32"/>
    </row>
    <row r="6" spans="3:12" ht="15" customHeight="1">
      <c r="C6" s="23">
        <v>1</v>
      </c>
      <c r="D6" s="24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9.8206911717525812E-4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>
      <c r="C7" s="23">
        <v>2</v>
      </c>
      <c r="D7" s="24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5.0635615968579795E-2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>
      <c r="C8" s="23">
        <v>3</v>
      </c>
      <c r="D8" s="24"/>
      <c r="E8" s="3">
        <f t="shared" si="1"/>
        <v>7.1721774586491635E-2</v>
      </c>
      <c r="F8" s="3">
        <f t="shared" si="0"/>
        <v>0.11483180189911682</v>
      </c>
      <c r="G8" s="3">
        <f t="shared" si="0"/>
        <v>0.2157952826238981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>
      <c r="C9" s="23">
        <v>4</v>
      </c>
      <c r="D9" s="24"/>
      <c r="E9" s="3">
        <f t="shared" si="1"/>
        <v>0.20698909349618236</v>
      </c>
      <c r="F9" s="3">
        <f t="shared" si="0"/>
        <v>0.29710948050653158</v>
      </c>
      <c r="G9" s="3">
        <f t="shared" si="0"/>
        <v>0.4844185570879303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>
      <c r="C10" s="23">
        <v>5</v>
      </c>
      <c r="D10" s="24"/>
      <c r="E10" s="3">
        <f t="shared" si="1"/>
        <v>0.41174190383249976</v>
      </c>
      <c r="F10" s="3">
        <f t="shared" si="0"/>
        <v>0.55429807672827713</v>
      </c>
      <c r="G10" s="3">
        <f t="shared" si="0"/>
        <v>0.83121161348666384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>
      <c r="C11" s="23"/>
      <c r="D11" s="24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23">
        <v>6</v>
      </c>
      <c r="D12" s="24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1.2373442457912045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>
      <c r="C13" s="23">
        <v>7</v>
      </c>
      <c r="D13" s="24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1.6898691806773543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>
      <c r="C14" s="23">
        <v>8</v>
      </c>
      <c r="D14" s="24"/>
      <c r="E14" s="3">
        <f t="shared" si="2"/>
        <v>1.3444130870148152</v>
      </c>
      <c r="F14" s="3">
        <f t="shared" si="0"/>
        <v>1.6464973726907688</v>
      </c>
      <c r="G14" s="3">
        <f t="shared" si="0"/>
        <v>2.1797307472526506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>
      <c r="C15" s="23">
        <v>9</v>
      </c>
      <c r="D15" s="24"/>
      <c r="E15" s="3">
        <f t="shared" si="2"/>
        <v>1.7349329049966573</v>
      </c>
      <c r="F15" s="3">
        <f t="shared" si="0"/>
        <v>2.0879007358707233</v>
      </c>
      <c r="G15" s="3">
        <f t="shared" si="0"/>
        <v>2.7003894999803584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>
      <c r="C16" s="23">
        <v>10</v>
      </c>
      <c r="D16" s="24"/>
      <c r="E16" s="3">
        <f t="shared" si="2"/>
        <v>2.1558564813046455</v>
      </c>
      <c r="F16" s="3">
        <f t="shared" si="0"/>
        <v>2.5582121601872081</v>
      </c>
      <c r="G16" s="3">
        <f t="shared" si="0"/>
        <v>3.2469727802368396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>
      <c r="C17" s="23"/>
      <c r="D17" s="24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23">
        <v>11</v>
      </c>
      <c r="D18" s="24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3.8157482522361006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>
      <c r="C19" s="23">
        <v>12</v>
      </c>
      <c r="D19" s="24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4.4037885069817033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>
      <c r="C20" s="23">
        <v>13</v>
      </c>
      <c r="D20" s="24"/>
      <c r="E20" s="3">
        <f t="shared" si="3"/>
        <v>3.5650345797295349</v>
      </c>
      <c r="F20" s="3">
        <f t="shared" si="0"/>
        <v>4.1069154715044069</v>
      </c>
      <c r="G20" s="3">
        <f t="shared" si="0"/>
        <v>5.0087505118103319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>
      <c r="C21" s="23">
        <v>14</v>
      </c>
      <c r="D21" s="24"/>
      <c r="E21" s="3">
        <f t="shared" si="3"/>
        <v>4.0746749573993482</v>
      </c>
      <c r="F21" s="3">
        <f t="shared" si="0"/>
        <v>4.6604250626577679</v>
      </c>
      <c r="G21" s="3">
        <f t="shared" si="0"/>
        <v>5.6287261030397318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>
      <c r="C22" s="23">
        <v>15</v>
      </c>
      <c r="D22" s="24"/>
      <c r="E22" s="3">
        <f t="shared" si="3"/>
        <v>4.600915571727338</v>
      </c>
      <c r="F22" s="3">
        <f t="shared" si="3"/>
        <v>5.2293488840989664</v>
      </c>
      <c r="G22" s="3">
        <f t="shared" si="3"/>
        <v>6.26213779504325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>
      <c r="C23" s="23"/>
      <c r="D23" s="24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23">
        <v>16</v>
      </c>
      <c r="D24" s="24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6.9076643534970019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>
      <c r="C25" s="23">
        <v>17</v>
      </c>
      <c r="D25" s="24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7.5641864495775692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>
      <c r="C26" s="23">
        <v>18</v>
      </c>
      <c r="D26" s="24"/>
      <c r="E26" s="3">
        <f t="shared" si="5"/>
        <v>6.2648046845064762</v>
      </c>
      <c r="F26" s="3">
        <f t="shared" si="4"/>
        <v>7.0149109011725761</v>
      </c>
      <c r="G26" s="3">
        <f t="shared" si="4"/>
        <v>8.2307461947566694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>
      <c r="C27" s="23">
        <v>19</v>
      </c>
      <c r="D27" s="24"/>
      <c r="E27" s="3">
        <f t="shared" si="5"/>
        <v>6.8439714454829561</v>
      </c>
      <c r="F27" s="3">
        <f t="shared" si="4"/>
        <v>7.6327296475714759</v>
      </c>
      <c r="G27" s="3">
        <f t="shared" si="4"/>
        <v>8.9065164819879747</v>
      </c>
      <c r="H27" s="3">
        <f t="shared" si="4"/>
        <v>10.117013063859044</v>
      </c>
      <c r="I27" s="3">
        <f t="shared" si="4"/>
        <v>30.143527205646155</v>
      </c>
      <c r="J27" s="3">
        <f t="shared" si="4"/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>
      <c r="C28" s="23">
        <v>20</v>
      </c>
      <c r="D28" s="24"/>
      <c r="E28" s="3">
        <f t="shared" si="5"/>
        <v>7.4338442629342358</v>
      </c>
      <c r="F28" s="3">
        <f t="shared" si="4"/>
        <v>8.2603983325464014</v>
      </c>
      <c r="G28" s="3">
        <f t="shared" si="4"/>
        <v>9.5907773922648669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>
      <c r="C29" s="23"/>
      <c r="D29" s="24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23">
        <v>21</v>
      </c>
      <c r="D30" s="24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10.282897782522859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>
      <c r="C31" s="23">
        <v>22</v>
      </c>
      <c r="D31" s="24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10.982320734473676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>
      <c r="C32" s="23">
        <v>23</v>
      </c>
      <c r="D32" s="24"/>
      <c r="E32" s="3">
        <f t="shared" si="7"/>
        <v>9.2604247758087546</v>
      </c>
      <c r="F32" s="3">
        <f t="shared" si="6"/>
        <v>10.195715555745821</v>
      </c>
      <c r="G32" s="3">
        <f t="shared" si="6"/>
        <v>11.688551922452435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>
      <c r="C33" s="23">
        <v>24</v>
      </c>
      <c r="D33" s="24"/>
      <c r="E33" s="3">
        <f t="shared" si="7"/>
        <v>9.8862335022414651</v>
      </c>
      <c r="F33" s="3">
        <f t="shared" si="6"/>
        <v>10.856361475532282</v>
      </c>
      <c r="G33" s="3">
        <f t="shared" si="6"/>
        <v>12.401150217444435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>
      <c r="C34" s="23">
        <v>25</v>
      </c>
      <c r="D34" s="24"/>
      <c r="E34" s="3">
        <f t="shared" si="7"/>
        <v>10.519652112024698</v>
      </c>
      <c r="F34" s="3">
        <f t="shared" si="6"/>
        <v>11.52397537224933</v>
      </c>
      <c r="G34" s="3">
        <f t="shared" si="6"/>
        <v>13.119720024937791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>
      <c r="C35" s="23"/>
      <c r="D35" s="24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23">
        <v>26</v>
      </c>
      <c r="D36" s="24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13.843904982007606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>
      <c r="C37" s="23">
        <v>27</v>
      </c>
      <c r="D37" s="24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14.573382730821709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>
      <c r="C38" s="23">
        <v>28</v>
      </c>
      <c r="D38" s="24"/>
      <c r="E38" s="3">
        <f t="shared" si="9"/>
        <v>12.46133594800256</v>
      </c>
      <c r="F38" s="3">
        <f t="shared" si="8"/>
        <v>13.564709754618823</v>
      </c>
      <c r="G38" s="3">
        <f t="shared" si="8"/>
        <v>15.307860552601202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>
      <c r="C39" s="23">
        <v>29</v>
      </c>
      <c r="D39" s="24"/>
      <c r="E39" s="3">
        <f t="shared" si="9"/>
        <v>13.121148887960382</v>
      </c>
      <c r="F39" s="3">
        <f t="shared" si="8"/>
        <v>14.256454576274677</v>
      </c>
      <c r="G39" s="3">
        <f t="shared" si="8"/>
        <v>16.047071695364892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>
      <c r="C40" s="23">
        <v>30</v>
      </c>
      <c r="D40" s="24"/>
      <c r="E40" s="3">
        <f t="shared" si="9"/>
        <v>13.786719859502711</v>
      </c>
      <c r="F40" s="3">
        <f t="shared" si="8"/>
        <v>14.953456528455439</v>
      </c>
      <c r="G40" s="3">
        <f t="shared" si="8"/>
        <v>16.790772265566623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>
      <c r="C41" s="23"/>
      <c r="D41" s="24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23">
        <v>40</v>
      </c>
      <c r="D42" s="24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24.433039170807891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>
      <c r="C43" s="23">
        <v>60</v>
      </c>
      <c r="D43" s="24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40.481748042841836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>
      <c r="C44" s="23">
        <v>120</v>
      </c>
      <c r="D44" s="24"/>
      <c r="E44" s="3">
        <f t="shared" si="11"/>
        <v>83.851572164554156</v>
      </c>
      <c r="F44" s="3">
        <f t="shared" si="10"/>
        <v>86.923279655353866</v>
      </c>
      <c r="G44" s="3">
        <f t="shared" si="10"/>
        <v>91.572641900014531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>
      <c r="C45" s="23">
        <v>200</v>
      </c>
      <c r="D45" s="24"/>
      <c r="E45" s="18">
        <f t="shared" si="11"/>
        <v>152.24099168737837</v>
      </c>
      <c r="F45" s="18">
        <f t="shared" si="10"/>
        <v>156.43196610759171</v>
      </c>
      <c r="G45" s="18">
        <f t="shared" si="10"/>
        <v>162.72798250184627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>
      <c r="C46" s="29">
        <v>360</v>
      </c>
      <c r="D46" s="30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309.32780124511254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/>
  </sheetData>
  <mergeCells count="50">
    <mergeCell ref="C2:L2"/>
    <mergeCell ref="E4:E5"/>
    <mergeCell ref="F4:F5"/>
    <mergeCell ref="G4:G5"/>
    <mergeCell ref="H4:H5"/>
    <mergeCell ref="I4:I5"/>
    <mergeCell ref="J4:J5"/>
    <mergeCell ref="K4:K5"/>
    <mergeCell ref="L4:L5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解答_テストの得点</vt:lpstr>
      <vt:lpstr>テストの得点</vt:lpstr>
      <vt:lpstr>解答_ネジの長さ</vt:lpstr>
      <vt:lpstr>ネジの長さ</vt:lpstr>
      <vt:lpstr>解答_バッテリーの寿命</vt:lpstr>
      <vt:lpstr>バッテリーの寿命</vt:lpstr>
      <vt:lpstr>解答_トマトの重量</vt:lpstr>
      <vt:lpstr>トマトの重量</vt:lpstr>
      <vt:lpstr>標準正規分布表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2025-09-04T12:39:06Z</dcterms:modified>
</cp:coreProperties>
</file>