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授業関連\___03_統計学\09_母平均の区間推定・母分散の区間推定\"/>
    </mc:Choice>
  </mc:AlternateContent>
  <xr:revisionPtr revIDLastSave="0" documentId="13_ncr:1_{2FDF568F-4DE2-4413-9D5F-F6353FCEE4F3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解答_母平均の区間推定" sheetId="10" r:id="rId1"/>
    <sheet name="母平均の区間推定" sheetId="1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0" l="1"/>
  <c r="F10" i="10" s="1"/>
  <c r="F12" i="10"/>
  <c r="F13" i="10"/>
  <c r="F14" i="10" s="1"/>
  <c r="F15" i="10" s="1"/>
  <c r="F17" i="10" l="1"/>
  <c r="F16" i="10"/>
</calcChain>
</file>

<file path=xl/sharedStrings.xml><?xml version="1.0" encoding="utf-8"?>
<sst xmlns="http://schemas.openxmlformats.org/spreadsheetml/2006/main" count="58" uniqueCount="30">
  <si>
    <t>Aクラス30名の得点から，学年全体の平均得点の95%信頼区間を推定したい</t>
    <phoneticPr fontId="1"/>
  </si>
  <si>
    <t>Aクラスの平均点は72点，分散は58</t>
    <phoneticPr fontId="1"/>
  </si>
  <si>
    <t>手順①</t>
    <rPh sb="0" eb="2">
      <t>テジュン</t>
    </rPh>
    <phoneticPr fontId="1"/>
  </si>
  <si>
    <t>母集団（未知）</t>
    <rPh sb="0" eb="3">
      <t>ボシュウダン</t>
    </rPh>
    <rPh sb="4" eb="6">
      <t>ミチ</t>
    </rPh>
    <phoneticPr fontId="1"/>
  </si>
  <si>
    <t>標本（既知）</t>
    <rPh sb="0" eb="2">
      <t>ヒョウホン</t>
    </rPh>
    <rPh sb="3" eb="5">
      <t>キチ</t>
    </rPh>
    <phoneticPr fontId="1"/>
  </si>
  <si>
    <t>標本数</t>
    <rPh sb="0" eb="3">
      <t>ヒョウホンスウ</t>
    </rPh>
    <phoneticPr fontId="1"/>
  </si>
  <si>
    <t>標本平均</t>
    <rPh sb="0" eb="4">
      <t>ヒョウホンヘイキン</t>
    </rPh>
    <phoneticPr fontId="1"/>
  </si>
  <si>
    <t>標本分散</t>
    <rPh sb="0" eb="4">
      <t>ヒョウホンブンサン</t>
    </rPh>
    <phoneticPr fontId="1"/>
  </si>
  <si>
    <t>n</t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</si>
  <si>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</si>
  <si>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学年全体</t>
    <rPh sb="0" eb="4">
      <t>ガクネンゼンタイ</t>
    </rPh>
    <phoneticPr fontId="1"/>
  </si>
  <si>
    <t>Aクラス</t>
    <phoneticPr fontId="1"/>
  </si>
  <si>
    <t>手順②</t>
    <rPh sb="0" eb="2">
      <t>テジュン</t>
    </rPh>
    <phoneticPr fontId="1"/>
  </si>
  <si>
    <t>標本不偏分散</t>
    <rPh sb="0" eb="6">
      <t>ヒョウホンフヘンブンサン</t>
    </rPh>
    <phoneticPr fontId="1"/>
  </si>
  <si>
    <t>偏差二乗和</t>
    <rPh sb="0" eb="5">
      <t>ヘンサジジョウワ</t>
    </rPh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</si>
  <si>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</si>
  <si>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</si>
  <si>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手順③</t>
    <rPh sb="0" eb="2">
      <t>テジュン</t>
    </rPh>
    <phoneticPr fontId="1"/>
  </si>
  <si>
    <t>自由度</t>
    <rPh sb="0" eb="3">
      <t>ジユウド</t>
    </rPh>
    <phoneticPr fontId="1"/>
  </si>
  <si>
    <t>上側確率</t>
    <rPh sb="0" eb="2">
      <t>ウエガワ</t>
    </rPh>
    <rPh sb="2" eb="4">
      <t>カクリツ</t>
    </rPh>
    <phoneticPr fontId="1"/>
  </si>
  <si>
    <t>a</t>
    <phoneticPr fontId="1"/>
  </si>
  <si>
    <t>tパーセント点</t>
    <rPh sb="6" eb="7">
      <t>テン</t>
    </rPh>
    <phoneticPr fontId="1"/>
  </si>
  <si>
    <r>
      <t>t</t>
    </r>
    <r>
      <rPr>
        <vertAlign val="sub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3"/>
        <charset val="128"/>
      </rPr>
      <t>(ν)</t>
    </r>
    <phoneticPr fontId="1"/>
  </si>
  <si>
    <t>手順④</t>
    <rPh sb="0" eb="2">
      <t>テジュン</t>
    </rPh>
    <phoneticPr fontId="1"/>
  </si>
  <si>
    <t>±の後の項</t>
    <rPh sb="2" eb="3">
      <t>アト</t>
    </rPh>
    <rPh sb="4" eb="5">
      <t>コウ</t>
    </rPh>
    <phoneticPr fontId="1"/>
  </si>
  <si>
    <t>手順⑤</t>
    <rPh sb="0" eb="2">
      <t>テジュン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</si>
  <si>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</si>
  <si>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</si>
  <si>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ν=n-1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</si>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</sst>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FF0000"/>
      <name val="游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Times New Roman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>
      <alignment vertical="center"/>
    </xf>
    <xf numFmtId="0" fontId="7" fillId="0" borderId="8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7" fillId="2" borderId="5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3" borderId="12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6" xfId="0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2" borderId="9" xfId="0" applyFont="1" applyFill="1" applyBorder="1">
      <alignment vertical="center"/>
    </xf>
    <xf numFmtId="0" fontId="8" fillId="0" borderId="6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3" xfId="0" applyFont="1" applyBorder="1">
      <alignment vertical="center"/>
    </xf>
    <xf numFmtId="0" fontId="8" fillId="2" borderId="6" xfId="0" applyFont="1" applyFill="1" applyBorder="1">
      <alignment vertical="center"/>
    </xf>
    <xf numFmtId="0" fontId="8" fillId="3" borderId="12" xfId="0" applyFont="1" applyFill="1" applyBorder="1">
      <alignment vertical="center"/>
    </xf>
    <xf numFmtId="0" fontId="8" fillId="4" borderId="9" xfId="0" applyFont="1" applyFill="1" applyBorder="1">
      <alignment vertical="center"/>
    </xf>
    <xf numFmtId="0" fontId="8" fillId="4" borderId="6" xfId="0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DBDF-299B-48EA-AE63-1AA64D200885}">
  <dimension ref="B2:F18"/>
  <sheetViews>
    <sheetView showGridLines="0" tabSelected="1" workbookViewId="0"/>
  </sheetViews>
  <sheetFormatPr defaultRowHeight="18" x14ac:dyDescent="0.55000000000000004"/>
  <cols>
    <col min="3" max="3" width="6.6640625" bestFit="1" customWidth="1"/>
    <col min="4" max="4" width="16.1640625" customWidth="1"/>
    <col min="5" max="5" width="10.25" bestFit="1" customWidth="1"/>
  </cols>
  <sheetData>
    <row r="2" spans="2:6" x14ac:dyDescent="0.55000000000000004">
      <c r="B2" t="s">
        <v>0</v>
      </c>
    </row>
    <row r="3" spans="2:6" x14ac:dyDescent="0.55000000000000004">
      <c r="B3" t="s">
        <v>1</v>
      </c>
    </row>
    <row r="4" spans="2:6" ht="18.5" thickBot="1" x14ac:dyDescent="0.6"/>
    <row r="5" spans="2:6" ht="18.5" thickTop="1" x14ac:dyDescent="0.55000000000000004">
      <c r="C5" t="s">
        <v>2</v>
      </c>
      <c r="D5" s="37" t="s">
        <v>3</v>
      </c>
      <c r="E5" s="38"/>
      <c r="F5" s="25" t="s">
        <v>10</v>
      </c>
    </row>
    <row r="6" spans="2:6" x14ac:dyDescent="0.55000000000000004">
      <c r="D6" s="39" t="s">
        <v>4</v>
      </c>
      <c r="E6" s="40"/>
      <c r="F6" s="26" t="s">
        <v>11</v>
      </c>
    </row>
    <row r="7" spans="2:6" x14ac:dyDescent="0.55000000000000004">
      <c r="D7" s="19" t="s">
        <v>5</v>
      </c>
      <c r="E7" s="20" t="s">
        <v>8</v>
      </c>
      <c r="F7" s="27">
        <v>30</v>
      </c>
    </row>
    <row r="8" spans="2:6" x14ac:dyDescent="0.55000000000000004">
      <c r="D8" s="19" t="s">
        <v>6</v>
      </c>
      <c r="E8" s="20" t="s">
        <v>16</v>
      </c>
      <c r="F8" s="27">
        <v>72</v>
      </c>
    </row>
    <row r="9" spans="2:6" ht="18.5" thickBot="1" x14ac:dyDescent="0.6">
      <c r="D9" s="1" t="s">
        <v>7</v>
      </c>
      <c r="E9" s="6" t="s">
        <v>9</v>
      </c>
      <c r="F9" s="28">
        <v>58</v>
      </c>
    </row>
    <row r="10" spans="2:6" ht="18.5" thickTop="1" x14ac:dyDescent="0.55000000000000004">
      <c r="C10" t="s">
        <v>12</v>
      </c>
      <c r="D10" s="17" t="s">
        <v>13</v>
      </c>
      <c r="E10" s="47" t="s">
        <v>29</v>
      </c>
      <c r="F10" s="29">
        <f>F11/(F7-1)</f>
        <v>60</v>
      </c>
    </row>
    <row r="11" spans="2:6" ht="18.5" thickBot="1" x14ac:dyDescent="0.6">
      <c r="D11" s="1" t="s">
        <v>14</v>
      </c>
      <c r="E11" s="7" t="s">
        <v>15</v>
      </c>
      <c r="F11" s="30">
        <f>F9*F7</f>
        <v>1740</v>
      </c>
    </row>
    <row r="12" spans="2:6" ht="18.5" thickTop="1" x14ac:dyDescent="0.55000000000000004">
      <c r="C12" t="s">
        <v>17</v>
      </c>
      <c r="D12" s="9" t="s">
        <v>18</v>
      </c>
      <c r="E12" s="10" t="s">
        <v>28</v>
      </c>
      <c r="F12" s="31">
        <f>F7-1</f>
        <v>29</v>
      </c>
    </row>
    <row r="13" spans="2:6" x14ac:dyDescent="0.55000000000000004">
      <c r="D13" s="11" t="s">
        <v>19</v>
      </c>
      <c r="E13" s="12" t="s">
        <v>20</v>
      </c>
      <c r="F13" s="32">
        <f>(1-0.95)/2</f>
        <v>2.5000000000000022E-2</v>
      </c>
    </row>
    <row r="14" spans="2:6" ht="18.5" thickBot="1" x14ac:dyDescent="0.6">
      <c r="D14" s="14" t="s">
        <v>21</v>
      </c>
      <c r="E14" s="15" t="s">
        <v>22</v>
      </c>
      <c r="F14" s="33">
        <f>ABS(_xlfn.T.INV(F13,F12))</f>
        <v>2.0452296421327034</v>
      </c>
    </row>
    <row r="15" spans="2:6" ht="19" thickTop="1" thickBot="1" x14ac:dyDescent="0.6">
      <c r="C15" t="s">
        <v>23</v>
      </c>
      <c r="D15" s="41" t="s">
        <v>24</v>
      </c>
      <c r="E15" s="42"/>
      <c r="F15" s="34">
        <f>F14*SQRT(F10/F7)</f>
        <v>2.8923914980715408</v>
      </c>
    </row>
    <row r="16" spans="2:6" ht="18.5" thickTop="1" x14ac:dyDescent="0.55000000000000004">
      <c r="C16" t="s">
        <v>25</v>
      </c>
      <c r="D16" s="43" t="s">
        <v>26</v>
      </c>
      <c r="E16" s="44"/>
      <c r="F16" s="35">
        <f>F8-F15</f>
        <v>69.107608501928453</v>
      </c>
    </row>
    <row r="17" spans="4:6" ht="18.5" thickBot="1" x14ac:dyDescent="0.6">
      <c r="D17" s="45" t="s">
        <v>27</v>
      </c>
      <c r="E17" s="46"/>
      <c r="F17" s="36">
        <f>F8+F15</f>
        <v>74.892391498071547</v>
      </c>
    </row>
    <row r="18" spans="4:6" ht="18.5" thickTop="1" x14ac:dyDescent="0.55000000000000004"/>
  </sheetData>
  <mergeCells count="5">
    <mergeCell ref="D5:E5"/>
    <mergeCell ref="D6:E6"/>
    <mergeCell ref="D15:E15"/>
    <mergeCell ref="D16:E16"/>
    <mergeCell ref="D17:E1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D13A-2A4F-4E04-A718-F0B06D9B3723}">
  <dimension ref="B2:F18"/>
  <sheetViews>
    <sheetView showGridLines="0" workbookViewId="0"/>
  </sheetViews>
  <sheetFormatPr defaultRowHeight="18" x14ac:dyDescent="0.55000000000000004"/>
  <cols>
    <col min="3" max="3" width="6.6640625" bestFit="1" customWidth="1"/>
    <col min="4" max="4" width="16.1640625" customWidth="1"/>
    <col min="5" max="5" width="10.25" bestFit="1" customWidth="1"/>
  </cols>
  <sheetData>
    <row r="2" spans="2:6" x14ac:dyDescent="0.55000000000000004">
      <c r="B2" t="s">
        <v>0</v>
      </c>
    </row>
    <row r="3" spans="2:6" x14ac:dyDescent="0.55000000000000004">
      <c r="B3" t="s">
        <v>1</v>
      </c>
    </row>
    <row r="4" spans="2:6" ht="18.5" thickBot="1" x14ac:dyDescent="0.6"/>
    <row r="5" spans="2:6" ht="18.5" thickTop="1" x14ac:dyDescent="0.55000000000000004">
      <c r="C5" t="s">
        <v>2</v>
      </c>
      <c r="D5" s="37" t="s">
        <v>3</v>
      </c>
      <c r="E5" s="38"/>
      <c r="F5" s="4"/>
    </row>
    <row r="6" spans="2:6" x14ac:dyDescent="0.55000000000000004">
      <c r="D6" s="39" t="s">
        <v>4</v>
      </c>
      <c r="E6" s="40"/>
      <c r="F6" s="5"/>
    </row>
    <row r="7" spans="2:6" x14ac:dyDescent="0.55000000000000004">
      <c r="D7" s="19" t="s">
        <v>5</v>
      </c>
      <c r="E7" s="20" t="s">
        <v>8</v>
      </c>
      <c r="F7" s="21"/>
    </row>
    <row r="8" spans="2:6" x14ac:dyDescent="0.55000000000000004">
      <c r="D8" s="19" t="s">
        <v>6</v>
      </c>
      <c r="E8" s="20" t="s">
        <v>16</v>
      </c>
      <c r="F8" s="21"/>
    </row>
    <row r="9" spans="2:6" ht="18.5" thickBot="1" x14ac:dyDescent="0.6">
      <c r="D9" s="1" t="s">
        <v>7</v>
      </c>
      <c r="E9" s="6" t="s">
        <v>9</v>
      </c>
      <c r="F9" s="8"/>
    </row>
    <row r="10" spans="2:6" ht="18.5" thickTop="1" x14ac:dyDescent="0.55000000000000004">
      <c r="C10" t="s">
        <v>12</v>
      </c>
      <c r="D10" s="17" t="s">
        <v>13</v>
      </c>
      <c r="E10" s="47" t="s">
        <v>29</v>
      </c>
      <c r="F10" s="18"/>
    </row>
    <row r="11" spans="2:6" ht="18.5" thickBot="1" x14ac:dyDescent="0.6">
      <c r="D11" s="1" t="s">
        <v>14</v>
      </c>
      <c r="E11" s="7" t="s">
        <v>15</v>
      </c>
      <c r="F11" s="2"/>
    </row>
    <row r="12" spans="2:6" ht="18.5" thickTop="1" x14ac:dyDescent="0.55000000000000004">
      <c r="C12" t="s">
        <v>17</v>
      </c>
      <c r="D12" s="9" t="s">
        <v>18</v>
      </c>
      <c r="E12" s="10" t="s">
        <v>28</v>
      </c>
      <c r="F12" s="3"/>
    </row>
    <row r="13" spans="2:6" x14ac:dyDescent="0.55000000000000004">
      <c r="D13" s="11" t="s">
        <v>19</v>
      </c>
      <c r="E13" s="12" t="s">
        <v>20</v>
      </c>
      <c r="F13" s="13"/>
    </row>
    <row r="14" spans="2:6" ht="18.5" thickBot="1" x14ac:dyDescent="0.6">
      <c r="D14" s="14" t="s">
        <v>21</v>
      </c>
      <c r="E14" s="15" t="s">
        <v>22</v>
      </c>
      <c r="F14" s="16"/>
    </row>
    <row r="15" spans="2:6" ht="19" thickTop="1" thickBot="1" x14ac:dyDescent="0.6">
      <c r="C15" t="s">
        <v>23</v>
      </c>
      <c r="D15" s="41" t="s">
        <v>24</v>
      </c>
      <c r="E15" s="42"/>
      <c r="F15" s="22"/>
    </row>
    <row r="16" spans="2:6" ht="18.5" thickTop="1" x14ac:dyDescent="0.55000000000000004">
      <c r="C16" t="s">
        <v>25</v>
      </c>
      <c r="D16" s="43" t="s">
        <v>26</v>
      </c>
      <c r="E16" s="44"/>
      <c r="F16" s="23"/>
    </row>
    <row r="17" spans="4:6" ht="18.5" thickBot="1" x14ac:dyDescent="0.6">
      <c r="D17" s="45" t="s">
        <v>27</v>
      </c>
      <c r="E17" s="46"/>
      <c r="F17" s="24"/>
    </row>
    <row r="18" spans="4:6" ht="18.5" thickTop="1" x14ac:dyDescent="0.55000000000000004"/>
  </sheetData>
  <mergeCells count="5">
    <mergeCell ref="D5:E5"/>
    <mergeCell ref="D6:E6"/>
    <mergeCell ref="D15:E15"/>
    <mergeCell ref="D16:E16"/>
    <mergeCell ref="D17:E1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解答_母平均の区間推定</vt:lpstr>
      <vt:lpstr>母平均の区間推定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2025-09-04T04:26:08Z</dcterms:modified>
</cp:coreProperties>
</file>