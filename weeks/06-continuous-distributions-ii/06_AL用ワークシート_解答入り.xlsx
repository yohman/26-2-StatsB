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drawings/drawing5.xml" ContentType="application/vnd.openxmlformats-officedocument.drawingml.chartshape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6\"/>
    </mc:Choice>
  </mc:AlternateContent>
  <xr:revisionPtr revIDLastSave="0" documentId="13_ncr:1_{B329920C-893C-4A1E-B925-0AEFC5A50338}" xr6:coauthVersionLast="47" xr6:coauthVersionMax="47" xr10:uidLastSave="{00000000-0000-0000-0000-000000000000}"/>
  <bookViews>
    <workbookView xWindow="330" yWindow="800" windowWidth="24340" windowHeight="19340" activeTab="1" xr2:uid="{00000000-000D-0000-FFFF-FFFF00000000}"/>
  </bookViews>
  <sheets>
    <sheet name="標準正規分布・t分布" sheetId="28" r:id="rId1"/>
    <sheet name="標準正規分布・t分布_解答" sheetId="27" r:id="rId2"/>
    <sheet name="norm.dist" sheetId="18" r:id="rId3"/>
  </sheets>
  <externalReferences>
    <externalReference r:id="rId4"/>
  </externalReferences>
  <definedNames>
    <definedName name="_xlnm.Print_Area" localSheetId="0">標準正規分布・t分布!$A$1:$ED$37</definedName>
    <definedName name="_xlnm.Print_Area" localSheetId="1">標準正規分布・t分布_解答!$A$1:$ED$37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R18" i="27" l="1"/>
  <c r="O7" i="18" l="1"/>
  <c r="P7" i="18" s="1"/>
  <c r="P6" i="18"/>
  <c r="O8" i="18" l="1"/>
  <c r="O9" i="18" s="1"/>
  <c r="P9" i="18" s="1"/>
  <c r="O10" i="18" l="1"/>
  <c r="P8" i="18"/>
  <c r="O11" i="18"/>
  <c r="P10" i="18"/>
  <c r="M7" i="18"/>
  <c r="M8" i="18" s="1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M51" i="18" s="1"/>
  <c r="M52" i="18" s="1"/>
  <c r="M53" i="18" s="1"/>
  <c r="M54" i="18" s="1"/>
  <c r="M55" i="18" s="1"/>
  <c r="M56" i="18" s="1"/>
  <c r="M57" i="18" s="1"/>
  <c r="M58" i="18" s="1"/>
  <c r="M59" i="18" s="1"/>
  <c r="M60" i="18" s="1"/>
  <c r="M61" i="18" s="1"/>
  <c r="M62" i="18" s="1"/>
  <c r="M63" i="18" s="1"/>
  <c r="M64" i="18" s="1"/>
  <c r="M65" i="18" s="1"/>
  <c r="M66" i="18" s="1"/>
  <c r="M67" i="18" s="1"/>
  <c r="M68" i="18" s="1"/>
  <c r="M69" i="18" s="1"/>
  <c r="M70" i="18" s="1"/>
  <c r="M71" i="18" s="1"/>
  <c r="M72" i="18" s="1"/>
  <c r="M73" i="18" s="1"/>
  <c r="M74" i="18" s="1"/>
  <c r="M75" i="18" s="1"/>
  <c r="M76" i="18" s="1"/>
  <c r="M77" i="18" s="1"/>
  <c r="M78" i="18" s="1"/>
  <c r="M79" i="18" s="1"/>
  <c r="M80" i="18" s="1"/>
  <c r="M81" i="18" s="1"/>
  <c r="M82" i="18" s="1"/>
  <c r="M83" i="18" s="1"/>
  <c r="M84" i="18" s="1"/>
  <c r="M85" i="18" s="1"/>
  <c r="M86" i="18" s="1"/>
  <c r="N6" i="18"/>
  <c r="K7" i="18"/>
  <c r="L6" i="18"/>
  <c r="AB6" i="18"/>
  <c r="AA7" i="18"/>
  <c r="AA8" i="18" s="1"/>
  <c r="AD6" i="18"/>
  <c r="AC7" i="18"/>
  <c r="AC8" i="18" s="1"/>
  <c r="Y8" i="18"/>
  <c r="Y9" i="18" s="1"/>
  <c r="Z9" i="18" s="1"/>
  <c r="Y7" i="18"/>
  <c r="Z7" i="18" s="1"/>
  <c r="Z6" i="18"/>
  <c r="C6" i="18"/>
  <c r="B7" i="18"/>
  <c r="B8" i="18" s="1"/>
  <c r="AB8" i="18" l="1"/>
  <c r="AA9" i="18"/>
  <c r="AD8" i="18"/>
  <c r="AC9" i="18"/>
  <c r="B9" i="18"/>
  <c r="C8" i="18"/>
  <c r="C7" i="18"/>
  <c r="AD7" i="18"/>
  <c r="N7" i="18"/>
  <c r="AB7" i="18"/>
  <c r="P11" i="18"/>
  <c r="O12" i="18"/>
  <c r="N8" i="18"/>
  <c r="K8" i="18"/>
  <c r="L7" i="18"/>
  <c r="Z8" i="18"/>
  <c r="Y10" i="18"/>
  <c r="C9" i="18" l="1"/>
  <c r="B10" i="18"/>
  <c r="AC10" i="18"/>
  <c r="AD9" i="18"/>
  <c r="AB9" i="18"/>
  <c r="AA10" i="18"/>
  <c r="O13" i="18"/>
  <c r="P12" i="18"/>
  <c r="N9" i="18"/>
  <c r="L8" i="18"/>
  <c r="K9" i="18"/>
  <c r="Y11" i="18"/>
  <c r="Z10" i="18"/>
  <c r="AD10" i="18" l="1"/>
  <c r="AC11" i="18"/>
  <c r="B11" i="18"/>
  <c r="C10" i="18"/>
  <c r="AB10" i="18"/>
  <c r="AA11" i="18"/>
  <c r="P13" i="18"/>
  <c r="O14" i="18"/>
  <c r="N10" i="18"/>
  <c r="K10" i="18"/>
  <c r="L9" i="18"/>
  <c r="Z11" i="18"/>
  <c r="Y12" i="18"/>
  <c r="B12" i="18" l="1"/>
  <c r="C11" i="18"/>
  <c r="AB11" i="18"/>
  <c r="AA12" i="18"/>
  <c r="AD11" i="18"/>
  <c r="AC12" i="18"/>
  <c r="O15" i="18"/>
  <c r="P14" i="18"/>
  <c r="N11" i="18"/>
  <c r="K11" i="18"/>
  <c r="L10" i="18"/>
  <c r="Y13" i="18"/>
  <c r="Z12" i="18"/>
  <c r="AB12" i="18" l="1"/>
  <c r="AA13" i="18"/>
  <c r="AC13" i="18"/>
  <c r="AD12" i="18"/>
  <c r="B13" i="18"/>
  <c r="C12" i="18"/>
  <c r="P15" i="18"/>
  <c r="O16" i="18"/>
  <c r="N12" i="18"/>
  <c r="K12" i="18"/>
  <c r="L11" i="18"/>
  <c r="Z13" i="18"/>
  <c r="Y14" i="18"/>
  <c r="AB13" i="18" l="1"/>
  <c r="AA14" i="18"/>
  <c r="C13" i="18"/>
  <c r="B14" i="18"/>
  <c r="AC14" i="18"/>
  <c r="AD13" i="18"/>
  <c r="O17" i="18"/>
  <c r="P16" i="18"/>
  <c r="N13" i="18"/>
  <c r="L12" i="18"/>
  <c r="K13" i="18"/>
  <c r="Y15" i="18"/>
  <c r="Z14" i="18"/>
  <c r="B15" i="18" l="1"/>
  <c r="C14" i="18"/>
  <c r="AD14" i="18"/>
  <c r="AC15" i="18"/>
  <c r="AB14" i="18"/>
  <c r="AA15" i="18"/>
  <c r="P17" i="18"/>
  <c r="O18" i="18"/>
  <c r="N14" i="18"/>
  <c r="K14" i="18"/>
  <c r="L13" i="18"/>
  <c r="Z15" i="18"/>
  <c r="Y16" i="18"/>
  <c r="AC16" i="18" l="1"/>
  <c r="AD15" i="18"/>
  <c r="AB15" i="18"/>
  <c r="AA16" i="18"/>
  <c r="B16" i="18"/>
  <c r="C15" i="18"/>
  <c r="O19" i="18"/>
  <c r="P18" i="18"/>
  <c r="N15" i="18"/>
  <c r="K15" i="18"/>
  <c r="L14" i="18"/>
  <c r="Y17" i="18"/>
  <c r="Z16" i="18"/>
  <c r="AB16" i="18" l="1"/>
  <c r="AA17" i="18"/>
  <c r="AD16" i="18"/>
  <c r="AC17" i="18"/>
  <c r="C16" i="18"/>
  <c r="B17" i="18"/>
  <c r="P19" i="18"/>
  <c r="O20" i="18"/>
  <c r="N16" i="18"/>
  <c r="K16" i="18"/>
  <c r="L15" i="18"/>
  <c r="Z17" i="18"/>
  <c r="Y18" i="18"/>
  <c r="C17" i="18" l="1"/>
  <c r="B18" i="18"/>
  <c r="AD17" i="18"/>
  <c r="AC18" i="18"/>
  <c r="AB17" i="18"/>
  <c r="AA18" i="18"/>
  <c r="O21" i="18"/>
  <c r="P20" i="18"/>
  <c r="N17" i="18"/>
  <c r="L16" i="18"/>
  <c r="K17" i="18"/>
  <c r="Y19" i="18"/>
  <c r="Z18" i="18"/>
  <c r="AB18" i="18" l="1"/>
  <c r="AA19" i="18"/>
  <c r="AD18" i="18"/>
  <c r="AC19" i="18"/>
  <c r="C18" i="18"/>
  <c r="B19" i="18"/>
  <c r="P21" i="18"/>
  <c r="O22" i="18"/>
  <c r="N18" i="18"/>
  <c r="K18" i="18"/>
  <c r="L17" i="18"/>
  <c r="Z19" i="18"/>
  <c r="Y20" i="18"/>
  <c r="C19" i="18" l="1"/>
  <c r="B20" i="18"/>
  <c r="AB19" i="18"/>
  <c r="AA20" i="18"/>
  <c r="AD19" i="18"/>
  <c r="AC20" i="18"/>
  <c r="O23" i="18"/>
  <c r="P22" i="18"/>
  <c r="N19" i="18"/>
  <c r="K19" i="18"/>
  <c r="L18" i="18"/>
  <c r="Y21" i="18"/>
  <c r="Z20" i="18"/>
  <c r="B21" i="18" l="1"/>
  <c r="C20" i="18"/>
  <c r="AB20" i="18"/>
  <c r="AA21" i="18"/>
  <c r="AC21" i="18"/>
  <c r="AD20" i="18"/>
  <c r="P23" i="18"/>
  <c r="O24" i="18"/>
  <c r="N20" i="18"/>
  <c r="K20" i="18"/>
  <c r="L19" i="18"/>
  <c r="Z21" i="18"/>
  <c r="Y22" i="18"/>
  <c r="AB21" i="18" l="1"/>
  <c r="AA22" i="18"/>
  <c r="C21" i="18"/>
  <c r="B22" i="18"/>
  <c r="AD21" i="18"/>
  <c r="AC22" i="18"/>
  <c r="O25" i="18"/>
  <c r="P24" i="18"/>
  <c r="N21" i="18"/>
  <c r="L20" i="18"/>
  <c r="K21" i="18"/>
  <c r="Y23" i="18"/>
  <c r="Z22" i="18"/>
  <c r="AD22" i="18" l="1"/>
  <c r="AC23" i="18"/>
  <c r="B23" i="18"/>
  <c r="C22" i="18"/>
  <c r="AB22" i="18"/>
  <c r="AA23" i="18"/>
  <c r="P25" i="18"/>
  <c r="O26" i="18"/>
  <c r="N22" i="18"/>
  <c r="K22" i="18"/>
  <c r="L21" i="18"/>
  <c r="Z23" i="18"/>
  <c r="Y24" i="18"/>
  <c r="C23" i="18" l="1"/>
  <c r="B24" i="18"/>
  <c r="AB23" i="18"/>
  <c r="AA24" i="18"/>
  <c r="AC24" i="18"/>
  <c r="AD23" i="18"/>
  <c r="O27" i="18"/>
  <c r="P26" i="18"/>
  <c r="N23" i="18"/>
  <c r="K23" i="18"/>
  <c r="L22" i="18"/>
  <c r="Y25" i="18"/>
  <c r="Z24" i="18"/>
  <c r="B25" i="18" l="1"/>
  <c r="C24" i="18"/>
  <c r="AD24" i="18"/>
  <c r="AC25" i="18"/>
  <c r="AB24" i="18"/>
  <c r="AA25" i="18"/>
  <c r="P27" i="18"/>
  <c r="O28" i="18"/>
  <c r="N24" i="18"/>
  <c r="K24" i="18"/>
  <c r="L23" i="18"/>
  <c r="Z25" i="18"/>
  <c r="Y26" i="18"/>
  <c r="AB25" i="18" l="1"/>
  <c r="AA26" i="18"/>
  <c r="AB26" i="18" s="1"/>
  <c r="AC26" i="18"/>
  <c r="AD26" i="18" s="1"/>
  <c r="AD25" i="18"/>
  <c r="C25" i="18"/>
  <c r="B26" i="18"/>
  <c r="O29" i="18"/>
  <c r="P28" i="18"/>
  <c r="N25" i="18"/>
  <c r="L24" i="18"/>
  <c r="K25" i="18"/>
  <c r="Y27" i="18"/>
  <c r="Z26" i="18"/>
  <c r="B27" i="18" l="1"/>
  <c r="C26" i="18"/>
  <c r="P29" i="18"/>
  <c r="O30" i="18"/>
  <c r="N26" i="18"/>
  <c r="K26" i="18"/>
  <c r="L25" i="18"/>
  <c r="Z27" i="18"/>
  <c r="Y28" i="18"/>
  <c r="B28" i="18" l="1"/>
  <c r="C27" i="18"/>
  <c r="O31" i="18"/>
  <c r="P30" i="18"/>
  <c r="N27" i="18"/>
  <c r="K27" i="18"/>
  <c r="L26" i="18"/>
  <c r="Y29" i="18"/>
  <c r="Z28" i="18"/>
  <c r="B29" i="18" l="1"/>
  <c r="C28" i="18"/>
  <c r="P31" i="18"/>
  <c r="O32" i="18"/>
  <c r="N28" i="18"/>
  <c r="K28" i="18"/>
  <c r="L27" i="18"/>
  <c r="Z29" i="18"/>
  <c r="Y30" i="18"/>
  <c r="C29" i="18" l="1"/>
  <c r="B30" i="18"/>
  <c r="O33" i="18"/>
  <c r="P32" i="18"/>
  <c r="N29" i="18"/>
  <c r="L28" i="18"/>
  <c r="K29" i="18"/>
  <c r="Y31" i="18"/>
  <c r="Z30" i="18"/>
  <c r="B31" i="18" l="1"/>
  <c r="C30" i="18"/>
  <c r="P33" i="18"/>
  <c r="O34" i="18"/>
  <c r="N30" i="18"/>
  <c r="K30" i="18"/>
  <c r="L29" i="18"/>
  <c r="Z31" i="18"/>
  <c r="Y32" i="18"/>
  <c r="B32" i="18" l="1"/>
  <c r="C31" i="18"/>
  <c r="O35" i="18"/>
  <c r="P34" i="18"/>
  <c r="N31" i="18"/>
  <c r="K31" i="18"/>
  <c r="L30" i="18"/>
  <c r="Y33" i="18"/>
  <c r="Z32" i="18"/>
  <c r="B33" i="18" l="1"/>
  <c r="C32" i="18"/>
  <c r="P35" i="18"/>
  <c r="O36" i="18"/>
  <c r="N32" i="18"/>
  <c r="K32" i="18"/>
  <c r="L31" i="18"/>
  <c r="Z33" i="18"/>
  <c r="Y34" i="18"/>
  <c r="B34" i="18" l="1"/>
  <c r="C33" i="18"/>
  <c r="O37" i="18"/>
  <c r="P36" i="18"/>
  <c r="N33" i="18"/>
  <c r="L32" i="18"/>
  <c r="K33" i="18"/>
  <c r="Y35" i="18"/>
  <c r="Z34" i="18"/>
  <c r="B35" i="18" l="1"/>
  <c r="C34" i="18"/>
  <c r="P37" i="18"/>
  <c r="O38" i="18"/>
  <c r="N34" i="18"/>
  <c r="K34" i="18"/>
  <c r="L33" i="18"/>
  <c r="Z35" i="18"/>
  <c r="Y36" i="18"/>
  <c r="B36" i="18" l="1"/>
  <c r="C35" i="18"/>
  <c r="O39" i="18"/>
  <c r="P38" i="18"/>
  <c r="N35" i="18"/>
  <c r="K35" i="18"/>
  <c r="L34" i="18"/>
  <c r="Y37" i="18"/>
  <c r="Z36" i="18"/>
  <c r="C36" i="18" l="1"/>
  <c r="B37" i="18"/>
  <c r="P39" i="18"/>
  <c r="O40" i="18"/>
  <c r="N36" i="18"/>
  <c r="K36" i="18"/>
  <c r="L35" i="18"/>
  <c r="Z37" i="18"/>
  <c r="Y38" i="18"/>
  <c r="C37" i="18" l="1"/>
  <c r="B38" i="18"/>
  <c r="O41" i="18"/>
  <c r="P40" i="18"/>
  <c r="N37" i="18"/>
  <c r="L36" i="18"/>
  <c r="K37" i="18"/>
  <c r="Y39" i="18"/>
  <c r="Z38" i="18"/>
  <c r="C38" i="18" l="1"/>
  <c r="B39" i="18"/>
  <c r="P41" i="18"/>
  <c r="O42" i="18"/>
  <c r="N38" i="18"/>
  <c r="K38" i="18"/>
  <c r="L37" i="18"/>
  <c r="Z39" i="18"/>
  <c r="Y40" i="18"/>
  <c r="B40" i="18" l="1"/>
  <c r="C39" i="18"/>
  <c r="O43" i="18"/>
  <c r="P42" i="18"/>
  <c r="N39" i="18"/>
  <c r="K39" i="18"/>
  <c r="L38" i="18"/>
  <c r="Y41" i="18"/>
  <c r="Z40" i="18"/>
  <c r="B41" i="18" l="1"/>
  <c r="C40" i="18"/>
  <c r="P43" i="18"/>
  <c r="O44" i="18"/>
  <c r="N40" i="18"/>
  <c r="K40" i="18"/>
  <c r="L39" i="18"/>
  <c r="Z41" i="18"/>
  <c r="Y42" i="18"/>
  <c r="B42" i="18" l="1"/>
  <c r="C41" i="18"/>
  <c r="O45" i="18"/>
  <c r="P44" i="18"/>
  <c r="N41" i="18"/>
  <c r="L40" i="18"/>
  <c r="K41" i="18"/>
  <c r="Y43" i="18"/>
  <c r="Z42" i="18"/>
  <c r="C42" i="18" l="1"/>
  <c r="B43" i="18"/>
  <c r="P45" i="18"/>
  <c r="O46" i="18"/>
  <c r="N42" i="18"/>
  <c r="K42" i="18"/>
  <c r="L41" i="18"/>
  <c r="Z43" i="18"/>
  <c r="Y44" i="18"/>
  <c r="C43" i="18" l="1"/>
  <c r="B44" i="18"/>
  <c r="O47" i="18"/>
  <c r="P46" i="18"/>
  <c r="N43" i="18"/>
  <c r="K43" i="18"/>
  <c r="L42" i="18"/>
  <c r="Y45" i="18"/>
  <c r="Z44" i="18"/>
  <c r="C44" i="18" l="1"/>
  <c r="B45" i="18"/>
  <c r="P47" i="18"/>
  <c r="O48" i="18"/>
  <c r="N44" i="18"/>
  <c r="K44" i="18"/>
  <c r="L43" i="18"/>
  <c r="Z45" i="18"/>
  <c r="Y46" i="18"/>
  <c r="C45" i="18" l="1"/>
  <c r="B46" i="18"/>
  <c r="O49" i="18"/>
  <c r="P48" i="18"/>
  <c r="N45" i="18"/>
  <c r="L44" i="18"/>
  <c r="K45" i="18"/>
  <c r="Y47" i="18"/>
  <c r="Z46" i="18"/>
  <c r="C46" i="18" l="1"/>
  <c r="B47" i="18"/>
  <c r="P49" i="18"/>
  <c r="O50" i="18"/>
  <c r="N46" i="18"/>
  <c r="K46" i="18"/>
  <c r="L45" i="18"/>
  <c r="Z47" i="18"/>
  <c r="Y48" i="18"/>
  <c r="C47" i="18" l="1"/>
  <c r="B48" i="18"/>
  <c r="O51" i="18"/>
  <c r="P50" i="18"/>
  <c r="N47" i="18"/>
  <c r="K47" i="18"/>
  <c r="L46" i="18"/>
  <c r="Y49" i="18"/>
  <c r="Z48" i="18"/>
  <c r="C48" i="18" l="1"/>
  <c r="B49" i="18"/>
  <c r="P51" i="18"/>
  <c r="O52" i="18"/>
  <c r="N48" i="18"/>
  <c r="K48" i="18"/>
  <c r="L47" i="18"/>
  <c r="Z49" i="18"/>
  <c r="Y50" i="18"/>
  <c r="C49" i="18" l="1"/>
  <c r="B50" i="18"/>
  <c r="O53" i="18"/>
  <c r="P52" i="18"/>
  <c r="N49" i="18"/>
  <c r="L48" i="18"/>
  <c r="K49" i="18"/>
  <c r="Y51" i="18"/>
  <c r="Z50" i="18"/>
  <c r="B51" i="18" l="1"/>
  <c r="C50" i="18"/>
  <c r="P53" i="18"/>
  <c r="O54" i="18"/>
  <c r="N50" i="18"/>
  <c r="K50" i="18"/>
  <c r="L49" i="18"/>
  <c r="Z51" i="18"/>
  <c r="Y52" i="18"/>
  <c r="C51" i="18" l="1"/>
  <c r="B52" i="18"/>
  <c r="O55" i="18"/>
  <c r="P54" i="18"/>
  <c r="N51" i="18"/>
  <c r="K51" i="18"/>
  <c r="L50" i="18"/>
  <c r="Y53" i="18"/>
  <c r="Z52" i="18"/>
  <c r="B53" i="18" l="1"/>
  <c r="C52" i="18"/>
  <c r="P55" i="18"/>
  <c r="O56" i="18"/>
  <c r="N52" i="18"/>
  <c r="K52" i="18"/>
  <c r="L51" i="18"/>
  <c r="Z53" i="18"/>
  <c r="Y54" i="18"/>
  <c r="C53" i="18" l="1"/>
  <c r="B54" i="18"/>
  <c r="O57" i="18"/>
  <c r="P56" i="18"/>
  <c r="N53" i="18"/>
  <c r="L52" i="18"/>
  <c r="K53" i="18"/>
  <c r="Y55" i="18"/>
  <c r="Z54" i="18"/>
  <c r="B55" i="18" l="1"/>
  <c r="C54" i="18"/>
  <c r="P57" i="18"/>
  <c r="O58" i="18"/>
  <c r="N54" i="18"/>
  <c r="K54" i="18"/>
  <c r="L53" i="18"/>
  <c r="Z55" i="18"/>
  <c r="Y56" i="18"/>
  <c r="B56" i="18" l="1"/>
  <c r="C55" i="18"/>
  <c r="O59" i="18"/>
  <c r="P58" i="18"/>
  <c r="N55" i="18"/>
  <c r="K55" i="18"/>
  <c r="L54" i="18"/>
  <c r="Y57" i="18"/>
  <c r="Z56" i="18"/>
  <c r="B57" i="18" l="1"/>
  <c r="C56" i="18"/>
  <c r="P59" i="18"/>
  <c r="O60" i="18"/>
  <c r="N56" i="18"/>
  <c r="K56" i="18"/>
  <c r="L55" i="18"/>
  <c r="Z57" i="18"/>
  <c r="Y58" i="18"/>
  <c r="C57" i="18" l="1"/>
  <c r="B58" i="18"/>
  <c r="O61" i="18"/>
  <c r="P60" i="18"/>
  <c r="N57" i="18"/>
  <c r="L56" i="18"/>
  <c r="K57" i="18"/>
  <c r="Y59" i="18"/>
  <c r="Z58" i="18"/>
  <c r="C58" i="18" l="1"/>
  <c r="B59" i="18"/>
  <c r="P61" i="18"/>
  <c r="O62" i="18"/>
  <c r="N58" i="18"/>
  <c r="K58" i="18"/>
  <c r="L57" i="18"/>
  <c r="Z59" i="18"/>
  <c r="Y60" i="18"/>
  <c r="B60" i="18" l="1"/>
  <c r="C59" i="18"/>
  <c r="O63" i="18"/>
  <c r="P62" i="18"/>
  <c r="N59" i="18"/>
  <c r="K59" i="18"/>
  <c r="L58" i="18"/>
  <c r="Y61" i="18"/>
  <c r="Z60" i="18"/>
  <c r="C60" i="18" l="1"/>
  <c r="B61" i="18"/>
  <c r="P63" i="18"/>
  <c r="O64" i="18"/>
  <c r="N60" i="18"/>
  <c r="K60" i="18"/>
  <c r="L59" i="18"/>
  <c r="Z61" i="18"/>
  <c r="Y62" i="18"/>
  <c r="C61" i="18" l="1"/>
  <c r="B62" i="18"/>
  <c r="O65" i="18"/>
  <c r="P64" i="18"/>
  <c r="N61" i="18"/>
  <c r="L60" i="18"/>
  <c r="K61" i="18"/>
  <c r="Y63" i="18"/>
  <c r="Z62" i="18"/>
  <c r="C62" i="18" l="1"/>
  <c r="B63" i="18"/>
  <c r="P65" i="18"/>
  <c r="O66" i="18"/>
  <c r="N62" i="18"/>
  <c r="K62" i="18"/>
  <c r="L61" i="18"/>
  <c r="Z63" i="18"/>
  <c r="Y64" i="18"/>
  <c r="C63" i="18" l="1"/>
  <c r="B64" i="18"/>
  <c r="O67" i="18"/>
  <c r="P66" i="18"/>
  <c r="N63" i="18"/>
  <c r="K63" i="18"/>
  <c r="L62" i="18"/>
  <c r="Y65" i="18"/>
  <c r="Z64" i="18"/>
  <c r="C64" i="18" l="1"/>
  <c r="B65" i="18"/>
  <c r="P67" i="18"/>
  <c r="O68" i="18"/>
  <c r="N64" i="18"/>
  <c r="K64" i="18"/>
  <c r="L63" i="18"/>
  <c r="Z65" i="18"/>
  <c r="Y66" i="18"/>
  <c r="B66" i="18" l="1"/>
  <c r="C65" i="18"/>
  <c r="O69" i="18"/>
  <c r="P68" i="18"/>
  <c r="N65" i="18"/>
  <c r="L64" i="18"/>
  <c r="K65" i="18"/>
  <c r="Y67" i="18"/>
  <c r="Z66" i="18"/>
  <c r="B67" i="18" l="1"/>
  <c r="C66" i="18"/>
  <c r="P69" i="18"/>
  <c r="O70" i="18"/>
  <c r="N66" i="18"/>
  <c r="K66" i="18"/>
  <c r="L65" i="18"/>
  <c r="Z67" i="18"/>
  <c r="Y68" i="18"/>
  <c r="B68" i="18" l="1"/>
  <c r="C67" i="18"/>
  <c r="O71" i="18"/>
  <c r="P70" i="18"/>
  <c r="N67" i="18"/>
  <c r="K67" i="18"/>
  <c r="L66" i="18"/>
  <c r="Z68" i="18"/>
  <c r="Y69" i="18"/>
  <c r="B69" i="18" l="1"/>
  <c r="C68" i="18"/>
  <c r="P71" i="18"/>
  <c r="O72" i="18"/>
  <c r="N68" i="18"/>
  <c r="K68" i="18"/>
  <c r="L67" i="18"/>
  <c r="Z69" i="18"/>
  <c r="Y70" i="18"/>
  <c r="C69" i="18" l="1"/>
  <c r="B70" i="18"/>
  <c r="O73" i="18"/>
  <c r="P72" i="18"/>
  <c r="N69" i="18"/>
  <c r="L68" i="18"/>
  <c r="K69" i="18"/>
  <c r="Y71" i="18"/>
  <c r="Z70" i="18"/>
  <c r="B71" i="18" l="1"/>
  <c r="C70" i="18"/>
  <c r="P73" i="18"/>
  <c r="O74" i="18"/>
  <c r="N70" i="18"/>
  <c r="K70" i="18"/>
  <c r="L69" i="18"/>
  <c r="Z71" i="18"/>
  <c r="Y72" i="18"/>
  <c r="B72" i="18" l="1"/>
  <c r="C71" i="18"/>
  <c r="O75" i="18"/>
  <c r="P74" i="18"/>
  <c r="N71" i="18"/>
  <c r="K71" i="18"/>
  <c r="L70" i="18"/>
  <c r="Y73" i="18"/>
  <c r="Z72" i="18"/>
  <c r="B73" i="18" l="1"/>
  <c r="C72" i="18"/>
  <c r="P75" i="18"/>
  <c r="O76" i="18"/>
  <c r="N72" i="18"/>
  <c r="K72" i="18"/>
  <c r="L71" i="18"/>
  <c r="Z73" i="18"/>
  <c r="Y74" i="18"/>
  <c r="C73" i="18" l="1"/>
  <c r="B74" i="18"/>
  <c r="O77" i="18"/>
  <c r="P76" i="18"/>
  <c r="N73" i="18"/>
  <c r="L72" i="18"/>
  <c r="K73" i="18"/>
  <c r="Z74" i="18"/>
  <c r="Y75" i="18"/>
  <c r="B75" i="18" l="1"/>
  <c r="C74" i="18"/>
  <c r="P77" i="18"/>
  <c r="O78" i="18"/>
  <c r="N74" i="18"/>
  <c r="K74" i="18"/>
  <c r="L73" i="18"/>
  <c r="Z75" i="18"/>
  <c r="Y76" i="18"/>
  <c r="B76" i="18" l="1"/>
  <c r="C75" i="18"/>
  <c r="O79" i="18"/>
  <c r="P78" i="18"/>
  <c r="N75" i="18"/>
  <c r="K75" i="18"/>
  <c r="L74" i="18"/>
  <c r="Y77" i="18"/>
  <c r="Z76" i="18"/>
  <c r="B77" i="18" l="1"/>
  <c r="C76" i="18"/>
  <c r="P79" i="18"/>
  <c r="O80" i="18"/>
  <c r="N76" i="18"/>
  <c r="K76" i="18"/>
  <c r="L75" i="18"/>
  <c r="Z77" i="18"/>
  <c r="Y78" i="18"/>
  <c r="C77" i="18" l="1"/>
  <c r="B78" i="18"/>
  <c r="O81" i="18"/>
  <c r="P80" i="18"/>
  <c r="N77" i="18"/>
  <c r="K77" i="18"/>
  <c r="L76" i="18"/>
  <c r="Y79" i="18"/>
  <c r="Z78" i="18"/>
  <c r="B79" i="18" l="1"/>
  <c r="C78" i="18"/>
  <c r="P81" i="18"/>
  <c r="O82" i="18"/>
  <c r="N78" i="18"/>
  <c r="K78" i="18"/>
  <c r="L77" i="18"/>
  <c r="Z79" i="18"/>
  <c r="Y80" i="18"/>
  <c r="B80" i="18" l="1"/>
  <c r="C79" i="18"/>
  <c r="O83" i="18"/>
  <c r="P82" i="18"/>
  <c r="N79" i="18"/>
  <c r="K79" i="18"/>
  <c r="L78" i="18"/>
  <c r="Z80" i="18"/>
  <c r="Y81" i="18"/>
  <c r="B81" i="18" l="1"/>
  <c r="C80" i="18"/>
  <c r="P83" i="18"/>
  <c r="O84" i="18"/>
  <c r="N80" i="18"/>
  <c r="K80" i="18"/>
  <c r="L79" i="18"/>
  <c r="Z81" i="18"/>
  <c r="Y82" i="18"/>
  <c r="C81" i="18" l="1"/>
  <c r="B82" i="18"/>
  <c r="O85" i="18"/>
  <c r="P84" i="18"/>
  <c r="N81" i="18"/>
  <c r="K81" i="18"/>
  <c r="L80" i="18"/>
  <c r="Z82" i="18"/>
  <c r="Y83" i="18"/>
  <c r="B83" i="18" l="1"/>
  <c r="C82" i="18"/>
  <c r="P85" i="18"/>
  <c r="O86" i="18"/>
  <c r="P86" i="18" s="1"/>
  <c r="N82" i="18"/>
  <c r="K82" i="18"/>
  <c r="L81" i="18"/>
  <c r="Z83" i="18"/>
  <c r="Y84" i="18"/>
  <c r="B84" i="18" l="1"/>
  <c r="C83" i="18"/>
  <c r="N83" i="18"/>
  <c r="K83" i="18"/>
  <c r="L82" i="18"/>
  <c r="Y85" i="18"/>
  <c r="Z84" i="18"/>
  <c r="B85" i="18" l="1"/>
  <c r="C84" i="18"/>
  <c r="N84" i="18"/>
  <c r="K84" i="18"/>
  <c r="L83" i="18"/>
  <c r="Z85" i="18"/>
  <c r="Y86" i="18"/>
  <c r="Z86" i="18" s="1"/>
  <c r="B86" i="18" l="1"/>
  <c r="C86" i="18" s="1"/>
  <c r="C85" i="18"/>
  <c r="N85" i="18"/>
  <c r="N86" i="18"/>
  <c r="K85" i="18"/>
  <c r="L84" i="18"/>
  <c r="K86" i="18" l="1"/>
  <c r="L86" i="18" s="1"/>
  <c r="L85" i="18"/>
</calcChain>
</file>

<file path=xl/sharedStrings.xml><?xml version="1.0" encoding="utf-8"?>
<sst xmlns="http://schemas.openxmlformats.org/spreadsheetml/2006/main" count="151" uniqueCount="70">
  <si>
    <t>今日やること</t>
    <rPh sb="0" eb="2">
      <t>キョウ</t>
    </rPh>
    <phoneticPr fontId="2"/>
  </si>
  <si>
    <t>x</t>
    <phoneticPr fontId="2"/>
  </si>
  <si>
    <t>Mean</t>
    <phoneticPr fontId="2"/>
  </si>
  <si>
    <t>f(x)</t>
    <phoneticPr fontId="2"/>
  </si>
  <si>
    <t>Std. Dev</t>
    <phoneticPr fontId="2"/>
  </si>
  <si>
    <t>x'</t>
    <phoneticPr fontId="2"/>
  </si>
  <si>
    <t>f(x')</t>
    <phoneticPr fontId="2"/>
  </si>
  <si>
    <t>x''</t>
    <phoneticPr fontId="2"/>
  </si>
  <si>
    <t>f(x'')</t>
    <phoneticPr fontId="2"/>
  </si>
  <si>
    <t>f(x')</t>
    <phoneticPr fontId="2"/>
  </si>
  <si>
    <t>x'</t>
    <phoneticPr fontId="2"/>
  </si>
  <si>
    <t>f(x'')</t>
    <phoneticPr fontId="2"/>
  </si>
  <si>
    <t>確率変数</t>
    <rPh sb="0" eb="2">
      <t>カクリツ</t>
    </rPh>
    <rPh sb="2" eb="4">
      <t>ヘンスウ</t>
    </rPh>
    <phoneticPr fontId="2"/>
  </si>
  <si>
    <t>⇒</t>
    <phoneticPr fontId="2"/>
  </si>
  <si>
    <t>中心極限定理</t>
    <rPh sb="0" eb="2">
      <t>チュウシン</t>
    </rPh>
    <rPh sb="2" eb="4">
      <t>キョクゲン</t>
    </rPh>
    <rPh sb="4" eb="6">
      <t>テイリ</t>
    </rPh>
    <phoneticPr fontId="2"/>
  </si>
  <si>
    <t>※</t>
    <phoneticPr fontId="2"/>
  </si>
  <si>
    <t>①</t>
    <phoneticPr fontId="2"/>
  </si>
  <si>
    <t>②</t>
    <phoneticPr fontId="2"/>
  </si>
  <si>
    <t>③</t>
    <phoneticPr fontId="2"/>
  </si>
  <si>
    <t>標準正規分布表</t>
    <rPh sb="0" eb="2">
      <t>ヒョウジュン</t>
    </rPh>
    <rPh sb="2" eb="4">
      <t>セイキ</t>
    </rPh>
    <rPh sb="4" eb="6">
      <t>ブンプ</t>
    </rPh>
    <rPh sb="6" eb="7">
      <t>ヒョウ</t>
    </rPh>
    <phoneticPr fontId="2"/>
  </si>
  <si>
    <t>上側確率</t>
    <rPh sb="0" eb="1">
      <t>ウエ</t>
    </rPh>
    <rPh sb="1" eb="2">
      <t>ガワ</t>
    </rPh>
    <rPh sb="2" eb="4">
      <t>カクリツ</t>
    </rPh>
    <phoneticPr fontId="2"/>
  </si>
  <si>
    <t>どのような分布であっても</t>
    <rPh sb="5" eb="7">
      <t>ブンプ</t>
    </rPh>
    <phoneticPr fontId="2"/>
  </si>
  <si>
    <t>標本平均に関しては確率の計算ができる</t>
    <rPh sb="0" eb="2">
      <t>ヒョウホン</t>
    </rPh>
    <rPh sb="2" eb="4">
      <t>ヘイキン</t>
    </rPh>
    <rPh sb="5" eb="6">
      <t>カン</t>
    </rPh>
    <rPh sb="9" eb="11">
      <t>カクリツ</t>
    </rPh>
    <rPh sb="12" eb="14">
      <t>ケイサン</t>
    </rPh>
    <phoneticPr fontId="2"/>
  </si>
  <si>
    <t>※</t>
    <phoneticPr fontId="2"/>
  </si>
  <si>
    <t>ただしこの確率の計算は容易ではない</t>
    <rPh sb="5" eb="7">
      <t>カクリツ</t>
    </rPh>
    <rPh sb="8" eb="10">
      <t>ケイサン</t>
    </rPh>
    <rPh sb="11" eb="13">
      <t>ヨウイ</t>
    </rPh>
    <phoneticPr fontId="2"/>
  </si>
  <si>
    <t>確率の計算のためには↑のような積分計算が必要</t>
    <rPh sb="0" eb="2">
      <t>カクリツ</t>
    </rPh>
    <rPh sb="3" eb="5">
      <t>ケイサン</t>
    </rPh>
    <rPh sb="15" eb="17">
      <t>セキブン</t>
    </rPh>
    <rPh sb="17" eb="19">
      <t>ケイサン</t>
    </rPh>
    <rPh sb="20" eb="22">
      <t>ヒツヨウ</t>
    </rPh>
    <phoneticPr fontId="2"/>
  </si>
  <si>
    <t>標準正規分布表の見方</t>
    <rPh sb="0" eb="2">
      <t>ヒョウジュン</t>
    </rPh>
    <rPh sb="2" eb="4">
      <t>セイキ</t>
    </rPh>
    <rPh sb="4" eb="6">
      <t>ブンプ</t>
    </rPh>
    <rPh sb="6" eb="7">
      <t>ヒョウ</t>
    </rPh>
    <rPh sb="8" eb="10">
      <t>ミカタ</t>
    </rPh>
    <phoneticPr fontId="2"/>
  </si>
  <si>
    <t>【！超重要！】</t>
    <rPh sb="2" eb="3">
      <t>チョウ</t>
    </rPh>
    <rPh sb="3" eb="5">
      <t>ジュウヨウ</t>
    </rPh>
    <phoneticPr fontId="2"/>
  </si>
  <si>
    <t>標準正規分布にしたがう確率変数に関する確率計算の結果は</t>
    <rPh sb="0" eb="2">
      <t>ヒョウジュン</t>
    </rPh>
    <rPh sb="2" eb="4">
      <t>セイキ</t>
    </rPh>
    <rPh sb="4" eb="6">
      <t>ブンプ</t>
    </rPh>
    <rPh sb="11" eb="13">
      <t>カクリツ</t>
    </rPh>
    <rPh sb="13" eb="15">
      <t>ヘンスウ</t>
    </rPh>
    <rPh sb="16" eb="17">
      <t>カン</t>
    </rPh>
    <rPh sb="19" eb="21">
      <t>カクリツ</t>
    </rPh>
    <rPh sb="21" eb="23">
      <t>ケイサン</t>
    </rPh>
    <rPh sb="24" eb="26">
      <t>ケッカ</t>
    </rPh>
    <phoneticPr fontId="2"/>
  </si>
  <si>
    <t>標準正規分布表にまとめられている</t>
    <rPh sb="0" eb="2">
      <t>ヒョウジュン</t>
    </rPh>
    <rPh sb="2" eb="4">
      <t>セイキ</t>
    </rPh>
    <rPh sb="4" eb="6">
      <t>ブンプ</t>
    </rPh>
    <rPh sb="6" eb="7">
      <t>ヒョウ</t>
    </rPh>
    <phoneticPr fontId="2"/>
  </si>
  <si>
    <t>の値</t>
    <rPh sb="1" eb="2">
      <t>アタイ</t>
    </rPh>
    <phoneticPr fontId="2"/>
  </si>
  <si>
    <t>に対応した標準正規分布</t>
    <rPh sb="1" eb="3">
      <t>タイオウ</t>
    </rPh>
    <rPh sb="5" eb="7">
      <t>ヒョウジュン</t>
    </rPh>
    <rPh sb="7" eb="9">
      <t>セイキ</t>
    </rPh>
    <rPh sb="9" eb="11">
      <t>ブンプ</t>
    </rPh>
    <phoneticPr fontId="2"/>
  </si>
  <si>
    <t>の</t>
    <phoneticPr fontId="2"/>
  </si>
  <si>
    <t>をまとめた表</t>
    <rPh sb="5" eb="6">
      <t>ヒョウ</t>
    </rPh>
    <phoneticPr fontId="2"/>
  </si>
  <si>
    <t>例</t>
    <rPh sb="0" eb="1">
      <t>レイ</t>
    </rPh>
    <phoneticPr fontId="2"/>
  </si>
  <si>
    <r>
      <t>すなわち、</t>
    </r>
    <r>
      <rPr>
        <sz val="12"/>
        <color rgb="FFFF0000"/>
        <rFont val="メイリオ"/>
        <family val="3"/>
        <charset val="128"/>
      </rPr>
      <t>上側確率</t>
    </r>
    <rPh sb="5" eb="6">
      <t>ウエ</t>
    </rPh>
    <rPh sb="6" eb="7">
      <t>ガワ</t>
    </rPh>
    <rPh sb="7" eb="9">
      <t>カクリツ</t>
    </rPh>
    <phoneticPr fontId="2"/>
  </si>
  <si>
    <t>②</t>
    <phoneticPr fontId="2"/>
  </si>
  <si>
    <t>横方向から0.00の列を探す</t>
    <rPh sb="0" eb="3">
      <t>ヨコホウコウ</t>
    </rPh>
    <rPh sb="10" eb="11">
      <t>レツ</t>
    </rPh>
    <rPh sb="12" eb="13">
      <t>サガ</t>
    </rPh>
    <phoneticPr fontId="2"/>
  </si>
  <si>
    <t>縦方向から2.0の行を探す</t>
    <rPh sb="0" eb="3">
      <t>タテホウコウ</t>
    </rPh>
    <rPh sb="9" eb="10">
      <t>ギョウ</t>
    </rPh>
    <rPh sb="11" eb="12">
      <t>サガ</t>
    </rPh>
    <phoneticPr fontId="2"/>
  </si>
  <si>
    <t>対応する数値が【上側確率】</t>
    <rPh sb="0" eb="2">
      <t>タイオウ</t>
    </rPh>
    <rPh sb="4" eb="6">
      <t>スウチ</t>
    </rPh>
    <rPh sb="8" eb="9">
      <t>ウエ</t>
    </rPh>
    <rPh sb="9" eb="10">
      <t>ガワ</t>
    </rPh>
    <rPh sb="10" eb="12">
      <t>カクリツ</t>
    </rPh>
    <phoneticPr fontId="2"/>
  </si>
  <si>
    <t>は0.02275</t>
    <phoneticPr fontId="2"/>
  </si>
  <si>
    <t>練習問題</t>
    <rPh sb="0" eb="2">
      <t>レンシュウ</t>
    </rPh>
    <rPh sb="2" eb="4">
      <t>モンダイ</t>
    </rPh>
    <phoneticPr fontId="2"/>
  </si>
  <si>
    <t>分散</t>
    <rPh sb="0" eb="2">
      <t>ブンサン</t>
    </rPh>
    <phoneticPr fontId="2"/>
  </si>
  <si>
    <t>⇒</t>
    <phoneticPr fontId="2"/>
  </si>
  <si>
    <t>母集団2万人の来店頻度について</t>
    <rPh sb="0" eb="3">
      <t>ボシュウダン</t>
    </rPh>
    <rPh sb="4" eb="6">
      <t>マンニン</t>
    </rPh>
    <rPh sb="7" eb="9">
      <t>ライテン</t>
    </rPh>
    <rPh sb="9" eb="11">
      <t>ヒンド</t>
    </rPh>
    <phoneticPr fontId="2"/>
  </si>
  <si>
    <t>平均値</t>
    <rPh sb="0" eb="3">
      <t>ヘイキンチ</t>
    </rPh>
    <phoneticPr fontId="2"/>
  </si>
  <si>
    <t>：2.00</t>
    <phoneticPr fontId="2"/>
  </si>
  <si>
    <t>標準偏差</t>
    <rPh sb="0" eb="2">
      <t>ヒョウジュン</t>
    </rPh>
    <rPh sb="2" eb="4">
      <t>ヘンサ</t>
    </rPh>
    <phoneticPr fontId="2"/>
  </si>
  <si>
    <t>：1.41</t>
    <phoneticPr fontId="2"/>
  </si>
  <si>
    <t>：1.976</t>
    <phoneticPr fontId="2"/>
  </si>
  <si>
    <t>標本平均</t>
    <rPh sb="0" eb="2">
      <t>ヒョウホン</t>
    </rPh>
    <rPh sb="2" eb="4">
      <t>ヘイキン</t>
    </rPh>
    <phoneticPr fontId="2"/>
  </si>
  <si>
    <t>の分布</t>
    <rPh sb="1" eb="3">
      <t>ブンプ</t>
    </rPh>
    <phoneticPr fontId="2"/>
  </si>
  <si>
    <t>の正規分布</t>
    <rPh sb="1" eb="3">
      <t>セイキ</t>
    </rPh>
    <rPh sb="3" eb="5">
      <t>ブンプ</t>
    </rPh>
    <phoneticPr fontId="2"/>
  </si>
  <si>
    <t>標本の大きさが200のときに、母平均±0.1の範囲内に</t>
    <rPh sb="0" eb="2">
      <t>ヒョウホン</t>
    </rPh>
    <rPh sb="3" eb="4">
      <t>オオ</t>
    </rPh>
    <rPh sb="15" eb="16">
      <t>ボ</t>
    </rPh>
    <rPh sb="16" eb="18">
      <t>ヘイキン</t>
    </rPh>
    <rPh sb="23" eb="26">
      <t>ハンイナイ</t>
    </rPh>
    <phoneticPr fontId="2"/>
  </si>
  <si>
    <t>標本平均が含まれる確率</t>
    <rPh sb="0" eb="2">
      <t>ヒョウホン</t>
    </rPh>
    <rPh sb="2" eb="4">
      <t>ヘイキン</t>
    </rPh>
    <rPh sb="5" eb="6">
      <t>フク</t>
    </rPh>
    <rPh sb="9" eb="11">
      <t>カクリツ</t>
    </rPh>
    <phoneticPr fontId="2"/>
  </si>
  <si>
    <t>を計算する</t>
    <rPh sb="1" eb="3">
      <t>ケイサン</t>
    </rPh>
    <phoneticPr fontId="2"/>
  </si>
  <si>
    <t>①</t>
    <phoneticPr fontId="2"/>
  </si>
  <si>
    <t>標本平均が母平均2.00より0.1大きい値となるZを求める</t>
    <rPh sb="0" eb="2">
      <t>ヒョウホン</t>
    </rPh>
    <rPh sb="2" eb="4">
      <t>ヘイキン</t>
    </rPh>
    <rPh sb="5" eb="6">
      <t>ボ</t>
    </rPh>
    <rPh sb="6" eb="8">
      <t>ヘイキン</t>
    </rPh>
    <rPh sb="17" eb="18">
      <t>オオ</t>
    </rPh>
    <rPh sb="20" eb="21">
      <t>アタイ</t>
    </rPh>
    <rPh sb="26" eb="27">
      <t>モト</t>
    </rPh>
    <phoneticPr fontId="2"/>
  </si>
  <si>
    <t>②</t>
    <phoneticPr fontId="2"/>
  </si>
  <si>
    <t>Z=1.01のときの上側確率を標準正規分布表から求める</t>
    <rPh sb="10" eb="11">
      <t>ウエ</t>
    </rPh>
    <rPh sb="11" eb="12">
      <t>ガワ</t>
    </rPh>
    <rPh sb="12" eb="14">
      <t>カクリツ</t>
    </rPh>
    <rPh sb="15" eb="17">
      <t>ヒョウジュン</t>
    </rPh>
    <rPh sb="17" eb="19">
      <t>セイキ</t>
    </rPh>
    <rPh sb="19" eb="21">
      <t>ブンプ</t>
    </rPh>
    <rPh sb="21" eb="22">
      <t>ヒョウ</t>
    </rPh>
    <rPh sb="24" eb="25">
      <t>モト</t>
    </rPh>
    <phoneticPr fontId="2"/>
  </si>
  <si>
    <t>③</t>
    <phoneticPr fontId="2"/>
  </si>
  <si>
    <t>を求める</t>
    <rPh sb="1" eb="2">
      <t>モト</t>
    </rPh>
    <phoneticPr fontId="2"/>
  </si>
  <si>
    <t>となる</t>
    <phoneticPr fontId="2"/>
  </si>
  <si>
    <t>自由度10のとき</t>
    <rPh sb="0" eb="3">
      <t>ジユウド</t>
    </rPh>
    <phoneticPr fontId="2"/>
  </si>
  <si>
    <t>自由度5のとき</t>
    <rPh sb="0" eb="3">
      <t>ジユウド</t>
    </rPh>
    <phoneticPr fontId="2"/>
  </si>
  <si>
    <t>練習問題</t>
    <phoneticPr fontId="2"/>
  </si>
  <si>
    <t>t分布表(教科書203ページ)に基づく確率計算</t>
    <rPh sb="1" eb="3">
      <t>ブンプ</t>
    </rPh>
    <rPh sb="3" eb="4">
      <t>ヒョウ</t>
    </rPh>
    <rPh sb="5" eb="8">
      <t>キョウカショ</t>
    </rPh>
    <rPh sb="16" eb="17">
      <t>モト</t>
    </rPh>
    <rPh sb="19" eb="21">
      <t>カクリツ</t>
    </rPh>
    <rPh sb="21" eb="23">
      <t>ケイサン</t>
    </rPh>
    <phoneticPr fontId="2"/>
  </si>
  <si>
    <t>(定理の名称)より標本数大なら標本平均は正規分布で近似可能</t>
    <rPh sb="1" eb="3">
      <t>テイリ</t>
    </rPh>
    <rPh sb="9" eb="12">
      <t>ヒョウホンスウ</t>
    </rPh>
    <rPh sb="12" eb="13">
      <t>オオ</t>
    </rPh>
    <rPh sb="15" eb="17">
      <t>ヒョウホン</t>
    </rPh>
    <rPh sb="17" eb="19">
      <t>ヘイキン</t>
    </rPh>
    <rPh sb="20" eb="22">
      <t>セイキ</t>
    </rPh>
    <rPh sb="22" eb="24">
      <t>ブンプ</t>
    </rPh>
    <rPh sb="25" eb="27">
      <t>キンジ</t>
    </rPh>
    <rPh sb="27" eb="29">
      <t>カノウ</t>
    </rPh>
    <phoneticPr fontId="2"/>
  </si>
  <si>
    <t>中心極限定理の性質を理解します。</t>
    <rPh sb="0" eb="2">
      <t>チュウシン</t>
    </rPh>
    <rPh sb="2" eb="4">
      <t>キョクゲン</t>
    </rPh>
    <rPh sb="4" eb="6">
      <t>テイリ</t>
    </rPh>
    <phoneticPr fontId="2"/>
  </si>
  <si>
    <t>標準正規分布表・t分布表の読み方を習得します。</t>
    <rPh sb="0" eb="2">
      <t>ヒョウジュン</t>
    </rPh>
    <rPh sb="2" eb="6">
      <t>セイキブンプ</t>
    </rPh>
    <rPh sb="6" eb="7">
      <t>ヒョウ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</si>
</sst>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0"/>
    <numFmt numFmtId="178" formatCode="0.0000"/>
  </numFmts>
  <fonts count="9" x14ac:knownFonts="1">
    <font>
      <sz val="11"/>
      <color theme="1"/>
      <name val="Trebuchet MS"/>
      <family val="2"/>
      <charset val="128"/>
    </font>
    <font>
      <sz val="12"/>
      <color theme="1"/>
      <name val="メイリオ"/>
      <family val="3"/>
      <charset val="128"/>
    </font>
    <font>
      <sz val="6"/>
      <name val="Trebuchet MS"/>
      <family val="2"/>
      <charset val="128"/>
    </font>
    <font>
      <sz val="16"/>
      <color theme="1"/>
      <name val="Wingdings"/>
      <charset val="2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rgb="FFFF0000"/>
      <name val="メイリオ"/>
      <family val="3"/>
      <charset val="128"/>
    </font>
    <font>
      <sz val="12"/>
      <name val="メイリオ"/>
      <family val="3"/>
      <charset val="128"/>
    </font>
    <font>
      <b/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7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shrinkToFit="1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8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shrinkToFit="1"/>
    </xf>
    <xf numFmtId="176" fontId="7" fillId="0" borderId="0" xfId="0" applyNumberFormat="1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7" fontId="6" fillId="2" borderId="9" xfId="0" applyNumberFormat="1" applyFont="1" applyFill="1" applyBorder="1" applyAlignment="1">
      <alignment horizontal="center" vertical="center"/>
    </xf>
    <xf numFmtId="177" fontId="6" fillId="2" borderId="10" xfId="0" applyNumberFormat="1" applyFont="1" applyFill="1" applyBorder="1" applyAlignment="1">
      <alignment horizontal="center" vertical="center"/>
    </xf>
    <xf numFmtId="177" fontId="6" fillId="2" borderId="1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6" fillId="2" borderId="12" xfId="0" applyNumberFormat="1" applyFont="1" applyFill="1" applyBorder="1" applyAlignment="1">
      <alignment horizontal="center" vertical="center"/>
    </xf>
    <xf numFmtId="178" fontId="6" fillId="2" borderId="13" xfId="0" applyNumberFormat="1" applyFont="1" applyFill="1" applyBorder="1" applyAlignment="1">
      <alignment horizontal="center" vertical="center"/>
    </xf>
    <xf numFmtId="178" fontId="6" fillId="2" borderId="14" xfId="0" applyNumberFormat="1" applyFont="1" applyFill="1" applyBorder="1" applyAlignment="1">
      <alignment horizontal="center" vertical="center"/>
    </xf>
    <xf numFmtId="178" fontId="6" fillId="2" borderId="15" xfId="0" applyNumberFormat="1" applyFont="1" applyFill="1" applyBorder="1" applyAlignment="1">
      <alignment horizontal="center" vertical="center"/>
    </xf>
    <xf numFmtId="178" fontId="6" fillId="2" borderId="16" xfId="0" applyNumberFormat="1" applyFont="1" applyFill="1" applyBorder="1" applyAlignment="1">
      <alignment horizontal="center" vertical="center"/>
    </xf>
    <xf numFmtId="178" fontId="6" fillId="2" borderId="17" xfId="0" applyNumberFormat="1" applyFont="1" applyFill="1" applyBorder="1" applyAlignment="1">
      <alignment horizontal="center" vertical="center"/>
    </xf>
  </cellXfs>
  <cellStyles count="3">
    <cellStyle name="常规 2" xfId="2" xr:uid="{00000000-0005-0000-0000-000000000000}"/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[1]norm.dist!$Z$5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[1]norm.dist!$Y$6:$Y$86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[1]norm.dist!$Z$6:$Z$86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6F-4BDD-BF08-14FDD9A830D7}"/>
            </c:ext>
          </c:extLst>
        </c:ser>
        <c:ser>
          <c:idx val="2"/>
          <c:order val="1"/>
          <c:tx>
            <c:strRef>
              <c:f>[1]norm.dist!$AD$5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[1]norm.dist!$AC$6:$AC$26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[1]norm.dist!$AD$6:$AD$26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6F-4BDD-BF08-14FDD9A8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86240"/>
        <c:axId val="125296640"/>
      </c:scatterChart>
      <c:valAx>
        <c:axId val="12458624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25296640"/>
        <c:crosses val="autoZero"/>
        <c:crossBetween val="midCat"/>
        <c:majorUnit val="1"/>
      </c:valAx>
      <c:valAx>
        <c:axId val="125296640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245862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66-4F1D-91E7-5BEC1C7ABE6C}"/>
            </c:ext>
          </c:extLst>
        </c:ser>
        <c:ser>
          <c:idx val="2"/>
          <c:order val="1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66-4F1D-91E7-5BEC1C7AB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86240"/>
        <c:axId val="125296640"/>
      </c:scatterChart>
      <c:valAx>
        <c:axId val="12458624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25296640"/>
        <c:crosses val="autoZero"/>
        <c:crossBetween val="midCat"/>
        <c:majorUnit val="1"/>
      </c:valAx>
      <c:valAx>
        <c:axId val="125296640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245862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norm.dist!$C$5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norm.dist!$B$6:$B$86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norm.dist!$C$6:$C$86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9D-447A-8772-C7433B2C3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15200"/>
        <c:axId val="142529280"/>
      </c:scatterChart>
      <c:valAx>
        <c:axId val="14251520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529280"/>
        <c:crosses val="autoZero"/>
        <c:crossBetween val="midCat"/>
      </c:valAx>
      <c:valAx>
        <c:axId val="142529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515200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8F-401A-966C-FA6A4528E732}"/>
            </c:ext>
          </c:extLst>
        </c:ser>
        <c:ser>
          <c:idx val="1"/>
          <c:order val="1"/>
          <c:tx>
            <c:strRef>
              <c:f>norm.dist!$AB$5</c:f>
              <c:strCache>
                <c:ptCount val="1"/>
                <c:pt idx="0">
                  <c:v>f(x')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norm.dist!$AA$6:$AA$26</c:f>
              <c:numCache>
                <c:formatCode>General</c:formatCode>
                <c:ptCount val="2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</c:numCache>
            </c:numRef>
          </c:xVal>
          <c:yVal>
            <c:numRef>
              <c:f>norm.dist!$AB$6:$AB$26</c:f>
              <c:numCache>
                <c:formatCode>General</c:formatCode>
                <c:ptCount val="2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8F-401A-966C-FA6A4528E732}"/>
            </c:ext>
          </c:extLst>
        </c:ser>
        <c:ser>
          <c:idx val="2"/>
          <c:order val="2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8F-401A-966C-FA6A4528E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32448"/>
        <c:axId val="142633984"/>
      </c:scatterChart>
      <c:valAx>
        <c:axId val="142632448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633984"/>
        <c:crosses val="autoZero"/>
        <c:crossBetween val="midCat"/>
        <c:majorUnit val="4"/>
      </c:valAx>
      <c:valAx>
        <c:axId val="1426339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6324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41-46B2-9605-0E9AFC8E4B03}"/>
            </c:ext>
          </c:extLst>
        </c:ser>
        <c:ser>
          <c:idx val="1"/>
          <c:order val="1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41-46B2-9605-0E9AFC8E4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70848"/>
        <c:axId val="140120832"/>
      </c:scatterChart>
      <c:valAx>
        <c:axId val="142670848"/>
        <c:scaling>
          <c:orientation val="minMax"/>
          <c:max val="8"/>
          <c:min val="-8"/>
        </c:scaling>
        <c:delete val="0"/>
        <c:axPos val="b"/>
        <c:numFmt formatCode="General" sourceLinked="1"/>
        <c:majorTickMark val="out"/>
        <c:minorTickMark val="none"/>
        <c:tickLblPos val="nextTo"/>
        <c:crossAx val="140120832"/>
        <c:crosses val="autoZero"/>
        <c:crossBetween val="midCat"/>
        <c:majorUnit val="2"/>
      </c:valAx>
      <c:valAx>
        <c:axId val="140120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6708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84-4EB1-B7EF-ECAFC54E6292}"/>
            </c:ext>
          </c:extLst>
        </c:ser>
        <c:ser>
          <c:idx val="1"/>
          <c:order val="1"/>
          <c:tx>
            <c:strRef>
              <c:f>norm.dist!$P$5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norm.dist!$O$6:$O$86</c:f>
              <c:numCache>
                <c:formatCode>General</c:formatCode>
                <c:ptCount val="81"/>
                <c:pt idx="0">
                  <c:v>-2</c:v>
                </c:pt>
                <c:pt idx="1">
                  <c:v>-1.9</c:v>
                </c:pt>
                <c:pt idx="2">
                  <c:v>-1.7999999999999998</c:v>
                </c:pt>
                <c:pt idx="3">
                  <c:v>-1.6999999999999997</c:v>
                </c:pt>
                <c:pt idx="4">
                  <c:v>-1.5999999999999996</c:v>
                </c:pt>
                <c:pt idx="5">
                  <c:v>-1.4999999999999996</c:v>
                </c:pt>
                <c:pt idx="6">
                  <c:v>-1.3999999999999995</c:v>
                </c:pt>
                <c:pt idx="7">
                  <c:v>-1.2999999999999994</c:v>
                </c:pt>
                <c:pt idx="8">
                  <c:v>-1.1999999999999993</c:v>
                </c:pt>
                <c:pt idx="9">
                  <c:v>-1.0999999999999992</c:v>
                </c:pt>
                <c:pt idx="10">
                  <c:v>-0.99999999999999922</c:v>
                </c:pt>
                <c:pt idx="11">
                  <c:v>-0.89999999999999925</c:v>
                </c:pt>
                <c:pt idx="12">
                  <c:v>-0.79999999999999927</c:v>
                </c:pt>
                <c:pt idx="13">
                  <c:v>-0.69999999999999929</c:v>
                </c:pt>
                <c:pt idx="14">
                  <c:v>-0.59999999999999931</c:v>
                </c:pt>
                <c:pt idx="15">
                  <c:v>-0.49999999999999933</c:v>
                </c:pt>
                <c:pt idx="16">
                  <c:v>-0.39999999999999936</c:v>
                </c:pt>
                <c:pt idx="17">
                  <c:v>-0.29999999999999938</c:v>
                </c:pt>
                <c:pt idx="18">
                  <c:v>-0.19999999999999937</c:v>
                </c:pt>
                <c:pt idx="19">
                  <c:v>-9.9999999999999367E-2</c:v>
                </c:pt>
                <c:pt idx="20">
                  <c:v>6.3837823915946501E-16</c:v>
                </c:pt>
                <c:pt idx="21">
                  <c:v>0.10000000000000064</c:v>
                </c:pt>
                <c:pt idx="22">
                  <c:v>0.20000000000000065</c:v>
                </c:pt>
                <c:pt idx="23">
                  <c:v>0.30000000000000066</c:v>
                </c:pt>
                <c:pt idx="24">
                  <c:v>0.40000000000000069</c:v>
                </c:pt>
                <c:pt idx="25">
                  <c:v>0.50000000000000067</c:v>
                </c:pt>
                <c:pt idx="26">
                  <c:v>0.60000000000000064</c:v>
                </c:pt>
                <c:pt idx="27">
                  <c:v>0.70000000000000062</c:v>
                </c:pt>
                <c:pt idx="28">
                  <c:v>0.8000000000000006</c:v>
                </c:pt>
                <c:pt idx="29">
                  <c:v>0.90000000000000058</c:v>
                </c:pt>
                <c:pt idx="30">
                  <c:v>1.0000000000000007</c:v>
                </c:pt>
                <c:pt idx="31">
                  <c:v>1.1000000000000008</c:v>
                </c:pt>
                <c:pt idx="32">
                  <c:v>1.2000000000000008</c:v>
                </c:pt>
                <c:pt idx="33">
                  <c:v>1.3000000000000009</c:v>
                </c:pt>
                <c:pt idx="34">
                  <c:v>1.400000000000001</c:v>
                </c:pt>
                <c:pt idx="35">
                  <c:v>1.5000000000000011</c:v>
                </c:pt>
                <c:pt idx="36">
                  <c:v>1.6000000000000012</c:v>
                </c:pt>
                <c:pt idx="37">
                  <c:v>1.7000000000000013</c:v>
                </c:pt>
                <c:pt idx="38">
                  <c:v>1.8000000000000014</c:v>
                </c:pt>
                <c:pt idx="39">
                  <c:v>1.9000000000000015</c:v>
                </c:pt>
                <c:pt idx="40">
                  <c:v>2.0000000000000013</c:v>
                </c:pt>
                <c:pt idx="41">
                  <c:v>2.1000000000000014</c:v>
                </c:pt>
                <c:pt idx="42">
                  <c:v>2.2000000000000015</c:v>
                </c:pt>
                <c:pt idx="43">
                  <c:v>2.3000000000000016</c:v>
                </c:pt>
                <c:pt idx="44">
                  <c:v>2.4000000000000017</c:v>
                </c:pt>
                <c:pt idx="45">
                  <c:v>2.5000000000000018</c:v>
                </c:pt>
                <c:pt idx="46">
                  <c:v>2.6000000000000019</c:v>
                </c:pt>
                <c:pt idx="47">
                  <c:v>2.700000000000002</c:v>
                </c:pt>
                <c:pt idx="48">
                  <c:v>2.800000000000002</c:v>
                </c:pt>
                <c:pt idx="49">
                  <c:v>2.9000000000000021</c:v>
                </c:pt>
                <c:pt idx="50">
                  <c:v>3.0000000000000022</c:v>
                </c:pt>
                <c:pt idx="51">
                  <c:v>3.1000000000000023</c:v>
                </c:pt>
                <c:pt idx="52">
                  <c:v>3.2000000000000024</c:v>
                </c:pt>
                <c:pt idx="53">
                  <c:v>3.3000000000000025</c:v>
                </c:pt>
                <c:pt idx="54">
                  <c:v>3.4000000000000026</c:v>
                </c:pt>
                <c:pt idx="55">
                  <c:v>3.5000000000000027</c:v>
                </c:pt>
                <c:pt idx="56">
                  <c:v>3.6000000000000028</c:v>
                </c:pt>
                <c:pt idx="57">
                  <c:v>3.7000000000000028</c:v>
                </c:pt>
                <c:pt idx="58">
                  <c:v>3.8000000000000029</c:v>
                </c:pt>
                <c:pt idx="59">
                  <c:v>3.900000000000003</c:v>
                </c:pt>
                <c:pt idx="60">
                  <c:v>4.0000000000000027</c:v>
                </c:pt>
                <c:pt idx="61">
                  <c:v>4.1000000000000023</c:v>
                </c:pt>
                <c:pt idx="62">
                  <c:v>4.200000000000002</c:v>
                </c:pt>
                <c:pt idx="63">
                  <c:v>4.3000000000000016</c:v>
                </c:pt>
                <c:pt idx="64">
                  <c:v>4.4000000000000012</c:v>
                </c:pt>
                <c:pt idx="65">
                  <c:v>4.5000000000000009</c:v>
                </c:pt>
                <c:pt idx="66">
                  <c:v>4.6000000000000005</c:v>
                </c:pt>
                <c:pt idx="67">
                  <c:v>4.7</c:v>
                </c:pt>
                <c:pt idx="68">
                  <c:v>4.8</c:v>
                </c:pt>
                <c:pt idx="69">
                  <c:v>4.8999999999999995</c:v>
                </c:pt>
                <c:pt idx="70">
                  <c:v>4.9999999999999991</c:v>
                </c:pt>
                <c:pt idx="71">
                  <c:v>5.0999999999999988</c:v>
                </c:pt>
                <c:pt idx="72">
                  <c:v>5.1999999999999984</c:v>
                </c:pt>
                <c:pt idx="73">
                  <c:v>5.299999999999998</c:v>
                </c:pt>
                <c:pt idx="74">
                  <c:v>5.3999999999999977</c:v>
                </c:pt>
                <c:pt idx="75">
                  <c:v>5.4999999999999973</c:v>
                </c:pt>
                <c:pt idx="76">
                  <c:v>5.599999999999997</c:v>
                </c:pt>
                <c:pt idx="77">
                  <c:v>5.6999999999999966</c:v>
                </c:pt>
                <c:pt idx="78">
                  <c:v>5.7999999999999963</c:v>
                </c:pt>
                <c:pt idx="79">
                  <c:v>5.8999999999999959</c:v>
                </c:pt>
                <c:pt idx="80">
                  <c:v>5.9999999999999956</c:v>
                </c:pt>
              </c:numCache>
            </c:numRef>
          </c:xVal>
          <c:yVal>
            <c:numRef>
              <c:f>norm.dist!$P$6:$P$86</c:f>
              <c:numCache>
                <c:formatCode>General</c:formatCode>
                <c:ptCount val="81"/>
                <c:pt idx="0">
                  <c:v>1.4867195147342977E-6</c:v>
                </c:pt>
                <c:pt idx="1">
                  <c:v>2.4389607458933522E-6</c:v>
                </c:pt>
                <c:pt idx="2">
                  <c:v>3.9612990910320753E-6</c:v>
                </c:pt>
                <c:pt idx="3">
                  <c:v>6.3698251788671238E-6</c:v>
                </c:pt>
                <c:pt idx="4">
                  <c:v>1.0140852065486758E-5</c:v>
                </c:pt>
                <c:pt idx="5">
                  <c:v>1.5983741106905475E-5</c:v>
                </c:pt>
                <c:pt idx="6">
                  <c:v>2.494247129005362E-5</c:v>
                </c:pt>
                <c:pt idx="7">
                  <c:v>3.8535196742087265E-5</c:v>
                </c:pt>
                <c:pt idx="8">
                  <c:v>5.8943067756540058E-5</c:v>
                </c:pt>
                <c:pt idx="9">
                  <c:v>8.9261657177132928E-5</c:v>
                </c:pt>
                <c:pt idx="10">
                  <c:v>1.3383022576488583E-4</c:v>
                </c:pt>
                <c:pt idx="11">
                  <c:v>1.9865547139277307E-4</c:v>
                </c:pt>
                <c:pt idx="12">
                  <c:v>2.9194692579146081E-4</c:v>
                </c:pt>
                <c:pt idx="13">
                  <c:v>4.247802705507529E-4</c:v>
                </c:pt>
                <c:pt idx="14">
                  <c:v>6.1190193011377407E-4</c:v>
                </c:pt>
                <c:pt idx="15">
                  <c:v>8.7268269504576319E-4</c:v>
                </c:pt>
                <c:pt idx="16">
                  <c:v>1.232219168473021E-3</c:v>
                </c:pt>
                <c:pt idx="17">
                  <c:v>1.7225689390536843E-3</c:v>
                </c:pt>
                <c:pt idx="18">
                  <c:v>2.3840882014648486E-3</c:v>
                </c:pt>
                <c:pt idx="19">
                  <c:v>3.2668190561999273E-3</c:v>
                </c:pt>
                <c:pt idx="20">
                  <c:v>4.4318484119380153E-3</c:v>
                </c:pt>
                <c:pt idx="21">
                  <c:v>5.9525324197758642E-3</c:v>
                </c:pt>
                <c:pt idx="22">
                  <c:v>7.9154515829799772E-3</c:v>
                </c:pt>
                <c:pt idx="23">
                  <c:v>1.0420934814422614E-2</c:v>
                </c:pt>
                <c:pt idx="24">
                  <c:v>1.3582969233685644E-2</c:v>
                </c:pt>
                <c:pt idx="25">
                  <c:v>1.7528300493568578E-2</c:v>
                </c:pt>
                <c:pt idx="26">
                  <c:v>2.2394530294842931E-2</c:v>
                </c:pt>
                <c:pt idx="27">
                  <c:v>2.832703774160121E-2</c:v>
                </c:pt>
                <c:pt idx="28">
                  <c:v>3.5474592846231487E-2</c:v>
                </c:pt>
                <c:pt idx="29">
                  <c:v>4.3983595980427233E-2</c:v>
                </c:pt>
                <c:pt idx="30">
                  <c:v>5.3990966513188125E-2</c:v>
                </c:pt>
                <c:pt idx="31">
                  <c:v>6.5615814774676678E-2</c:v>
                </c:pt>
                <c:pt idx="32">
                  <c:v>7.8950158300894274E-2</c:v>
                </c:pt>
                <c:pt idx="33">
                  <c:v>9.4049077376887072E-2</c:v>
                </c:pt>
                <c:pt idx="34">
                  <c:v>0.11092083467945574</c:v>
                </c:pt>
                <c:pt idx="35">
                  <c:v>0.12951759566589197</c:v>
                </c:pt>
                <c:pt idx="36">
                  <c:v>0.14972746563574513</c:v>
                </c:pt>
                <c:pt idx="37">
                  <c:v>0.17136859204780766</c:v>
                </c:pt>
                <c:pt idx="38">
                  <c:v>0.19418605498321329</c:v>
                </c:pt>
                <c:pt idx="39">
                  <c:v>0.21785217703255089</c:v>
                </c:pt>
                <c:pt idx="40">
                  <c:v>0.24197072451914367</c:v>
                </c:pt>
                <c:pt idx="41">
                  <c:v>0.26608524989875521</c:v>
                </c:pt>
                <c:pt idx="42">
                  <c:v>0.28969155276148312</c:v>
                </c:pt>
                <c:pt idx="43">
                  <c:v>0.3122539333667616</c:v>
                </c:pt>
                <c:pt idx="44">
                  <c:v>0.3332246028918</c:v>
                </c:pt>
                <c:pt idx="45">
                  <c:v>0.35206532676429986</c:v>
                </c:pt>
                <c:pt idx="46">
                  <c:v>0.36827014030332361</c:v>
                </c:pt>
                <c:pt idx="47">
                  <c:v>0.38138781546052436</c:v>
                </c:pt>
                <c:pt idx="48">
                  <c:v>0.39104269397545605</c:v>
                </c:pt>
                <c:pt idx="49">
                  <c:v>0.39695254747701186</c:v>
                </c:pt>
                <c:pt idx="50">
                  <c:v>0.3989422804014327</c:v>
                </c:pt>
                <c:pt idx="51">
                  <c:v>0.3969525474770117</c:v>
                </c:pt>
                <c:pt idx="52">
                  <c:v>0.39104269397545571</c:v>
                </c:pt>
                <c:pt idx="53">
                  <c:v>0.3813878154605238</c:v>
                </c:pt>
                <c:pt idx="54">
                  <c:v>0.36827014030332295</c:v>
                </c:pt>
                <c:pt idx="55">
                  <c:v>0.35206532676429902</c:v>
                </c:pt>
                <c:pt idx="56">
                  <c:v>0.33322460289179912</c:v>
                </c:pt>
                <c:pt idx="57">
                  <c:v>0.31225393336676066</c:v>
                </c:pt>
                <c:pt idx="58">
                  <c:v>0.28969155276148212</c:v>
                </c:pt>
                <c:pt idx="59">
                  <c:v>0.26608524989875409</c:v>
                </c:pt>
                <c:pt idx="60">
                  <c:v>0.2419707245191427</c:v>
                </c:pt>
                <c:pt idx="61">
                  <c:v>0.21785217703255</c:v>
                </c:pt>
                <c:pt idx="62">
                  <c:v>0.19418605498321251</c:v>
                </c:pt>
                <c:pt idx="63">
                  <c:v>0.17136859204780702</c:v>
                </c:pt>
                <c:pt idx="64">
                  <c:v>0.1497274656357446</c:v>
                </c:pt>
                <c:pt idx="65">
                  <c:v>0.12951759566589155</c:v>
                </c:pt>
                <c:pt idx="66">
                  <c:v>0.11092083467945546</c:v>
                </c:pt>
                <c:pt idx="67">
                  <c:v>9.4049077376886905E-2</c:v>
                </c:pt>
                <c:pt idx="68">
                  <c:v>7.8950158300894177E-2</c:v>
                </c:pt>
                <c:pt idx="69">
                  <c:v>6.5615814774676665E-2</c:v>
                </c:pt>
                <c:pt idx="70">
                  <c:v>5.3990966513188146E-2</c:v>
                </c:pt>
                <c:pt idx="71">
                  <c:v>4.3983595980427309E-2</c:v>
                </c:pt>
                <c:pt idx="72">
                  <c:v>3.547459284623157E-2</c:v>
                </c:pt>
                <c:pt idx="73">
                  <c:v>2.8327037741601297E-2</c:v>
                </c:pt>
                <c:pt idx="74">
                  <c:v>2.2394530294843017E-2</c:v>
                </c:pt>
                <c:pt idx="75">
                  <c:v>1.7528300493568655E-2</c:v>
                </c:pt>
                <c:pt idx="76">
                  <c:v>1.3582969233685722E-2</c:v>
                </c:pt>
                <c:pt idx="77">
                  <c:v>1.0420934814422692E-2</c:v>
                </c:pt>
                <c:pt idx="78">
                  <c:v>7.9154515829800449E-3</c:v>
                </c:pt>
                <c:pt idx="79">
                  <c:v>5.9525324197759223E-3</c:v>
                </c:pt>
                <c:pt idx="80">
                  <c:v>4.4318484119380665E-3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84-4EB1-B7EF-ECAFC54E6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42848"/>
        <c:axId val="140148736"/>
      </c:scatterChart>
      <c:valAx>
        <c:axId val="140142848"/>
        <c:scaling>
          <c:orientation val="minMax"/>
          <c:max val="8"/>
          <c:min val="-8"/>
        </c:scaling>
        <c:delete val="0"/>
        <c:axPos val="b"/>
        <c:numFmt formatCode="General" sourceLinked="1"/>
        <c:majorTickMark val="out"/>
        <c:minorTickMark val="none"/>
        <c:tickLblPos val="nextTo"/>
        <c:crossAx val="140148736"/>
        <c:crosses val="autoZero"/>
        <c:crossBetween val="midCat"/>
        <c:majorUnit val="2"/>
      </c:valAx>
      <c:valAx>
        <c:axId val="140148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01428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68115942028986"/>
          <c:y val="5.0925925925925923E-2"/>
          <c:w val="0.82246376811594202"/>
          <c:h val="0.819444444444444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41-4158-9DB0-09A8B9F63751}"/>
            </c:ext>
          </c:extLst>
        </c:ser>
        <c:ser>
          <c:idx val="1"/>
          <c:order val="1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41-4158-9DB0-09A8B9F63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89376"/>
        <c:axId val="141990912"/>
      </c:scatterChart>
      <c:valAx>
        <c:axId val="141989376"/>
        <c:scaling>
          <c:orientation val="minMax"/>
          <c:max val="8"/>
          <c:min val="-8"/>
        </c:scaling>
        <c:delete val="1"/>
        <c:axPos val="b"/>
        <c:numFmt formatCode="General" sourceLinked="1"/>
        <c:majorTickMark val="out"/>
        <c:minorTickMark val="none"/>
        <c:tickLblPos val="nextTo"/>
        <c:crossAx val="141990912"/>
        <c:crosses val="autoZero"/>
        <c:crossBetween val="midCat"/>
        <c:majorUnit val="2"/>
      </c:valAx>
      <c:valAx>
        <c:axId val="141990912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1989376"/>
        <c:crosses val="autoZero"/>
        <c:crossBetween val="midCat"/>
        <c:majorUnit val="0.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68115942028986"/>
          <c:y val="5.0925925925925923E-2"/>
          <c:w val="0.82246376811594202"/>
          <c:h val="0.8194444444444444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DA-423D-B1A9-00B017666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96576"/>
        <c:axId val="140298112"/>
      </c:scatterChart>
      <c:valAx>
        <c:axId val="140296576"/>
        <c:scaling>
          <c:orientation val="minMax"/>
          <c:max val="8"/>
          <c:min val="-8"/>
        </c:scaling>
        <c:delete val="1"/>
        <c:axPos val="b"/>
        <c:numFmt formatCode="General" sourceLinked="1"/>
        <c:majorTickMark val="out"/>
        <c:minorTickMark val="none"/>
        <c:tickLblPos val="nextTo"/>
        <c:crossAx val="140298112"/>
        <c:crosses val="autoZero"/>
        <c:crossBetween val="midCat"/>
        <c:majorUnit val="2"/>
      </c:valAx>
      <c:valAx>
        <c:axId val="140298112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0296576"/>
        <c:crosses val="autoZero"/>
        <c:crossBetween val="midCat"/>
        <c:majorUnit val="0.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82-427E-A323-129DE090F598}"/>
            </c:ext>
          </c:extLst>
        </c:ser>
        <c:ser>
          <c:idx val="2"/>
          <c:order val="1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82-427E-A323-129DE090F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27040"/>
        <c:axId val="142728576"/>
      </c:scatterChart>
      <c:valAx>
        <c:axId val="14272704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728576"/>
        <c:crosses val="autoZero"/>
        <c:crossBetween val="midCat"/>
        <c:majorUnit val="1"/>
      </c:valAx>
      <c:valAx>
        <c:axId val="142728576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27270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C2-403F-ACBF-7A69A3087E0F}"/>
            </c:ext>
          </c:extLst>
        </c:ser>
        <c:ser>
          <c:idx val="1"/>
          <c:order val="1"/>
          <c:tx>
            <c:strRef>
              <c:f>norm.dist!$AB$5</c:f>
              <c:strCache>
                <c:ptCount val="1"/>
                <c:pt idx="0">
                  <c:v>f(x')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norm.dist!$AA$6:$AA$26</c:f>
              <c:numCache>
                <c:formatCode>General</c:formatCode>
                <c:ptCount val="2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</c:numCache>
            </c:numRef>
          </c:xVal>
          <c:yVal>
            <c:numRef>
              <c:f>norm.dist!$AB$6:$AB$26</c:f>
              <c:numCache>
                <c:formatCode>General</c:formatCode>
                <c:ptCount val="2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C2-403F-ACBF-7A69A3087E0F}"/>
            </c:ext>
          </c:extLst>
        </c:ser>
        <c:ser>
          <c:idx val="2"/>
          <c:order val="2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C2-403F-ACBF-7A69A3087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76736"/>
        <c:axId val="143082624"/>
      </c:scatterChart>
      <c:valAx>
        <c:axId val="143076736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3082624"/>
        <c:crosses val="autoZero"/>
        <c:crossBetween val="midCat"/>
        <c:majorUnit val="1"/>
      </c:valAx>
      <c:valAx>
        <c:axId val="143082624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3076736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DD-49F5-9702-8067A5517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37056"/>
        <c:axId val="45060864"/>
      </c:scatterChart>
      <c:valAx>
        <c:axId val="45037056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45060864"/>
        <c:crosses val="autoZero"/>
        <c:crossBetween val="midCat"/>
        <c:majorUnit val="1"/>
      </c:valAx>
      <c:valAx>
        <c:axId val="45060864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4503705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5" Type="http://schemas.openxmlformats.org/officeDocument/2006/relationships/image" Target="../media/image4.jpg"/><Relationship Id="rId4" Type="http://schemas.openxmlformats.org/officeDocument/2006/relationships/image" Target="../media/image3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2.xml"/><Relationship Id="rId5" Type="http://schemas.openxmlformats.org/officeDocument/2006/relationships/image" Target="../media/image4.jpg"/><Relationship Id="rId4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11907</xdr:colOff>
      <xdr:row>9</xdr:row>
      <xdr:rowOff>0</xdr:rowOff>
    </xdr:from>
    <xdr:ext cx="4493419" cy="5517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DED5E45D-3F5B-4CCE-AF33-1820A32233AF}"/>
                </a:ext>
              </a:extLst>
            </xdr:cNvPr>
            <xdr:cNvSpPr txBox="1"/>
          </xdr:nvSpPr>
          <xdr:spPr>
            <a:xfrm>
              <a:off x="1650207" y="1657350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2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𝛼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𝑋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𝛽</m:t>
                            </m:r>
                          </m:e>
                        </m:d>
                      </m:e>
                    </m:func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nary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f>
                          <m:f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fPr>
                          <m:num>
                            <m:r>
                              <a:rPr kumimoji="1" lang="en-US" altLang="ja-JP" sz="1200" b="0" i="1">
                                <a:latin typeface="Cambria Math"/>
                              </a:rPr>
                              <m:t>1</m:t>
                            </m:r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𝜋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rad>
                          </m:den>
                        </m:f>
                      </m:e>
                    </m:nary>
                    <m:func>
                      <m:funcPr>
                        <m:ctrlPr>
                          <a:rPr kumimoji="1" lang="en-US" altLang="ja-JP" sz="12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exp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−</m:t>
                            </m:r>
                            <m:f>
                              <m:fPr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𝑥</m:t>
                                        </m:r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−</m:t>
                                        </m:r>
                                        <m:sSub>
                                          <m:sSubPr>
                                            <m:ctrlP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𝜇</m:t>
                                            </m:r>
                                          </m:e>
                                          <m:sub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𝑋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func>
                  </m:oMath>
                </m:oMathPara>
              </a14:m>
              <a:endParaRPr kumimoji="1" lang="ja-JP" altLang="en-US" sz="1200"/>
            </a:p>
          </xdr:txBody>
        </xdr:sp>
      </mc:Choice>
      <mc:Fallback xmlns="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DED5E45D-3F5B-4CCE-AF33-1820A32233AF}"/>
                </a:ext>
              </a:extLst>
            </xdr:cNvPr>
            <xdr:cNvSpPr txBox="1"/>
          </xdr:nvSpPr>
          <xdr:spPr>
            <a:xfrm>
              <a:off x="1650207" y="1657350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Pr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200" b="0" i="0">
                  <a:latin typeface="Cambria Math"/>
                </a:rPr>
                <a:t>𝛼&lt;𝑋&lt;𝛽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200" b="0" i="0">
                  <a:latin typeface="Cambria Math"/>
                </a:rPr>
                <a:t>=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∫_</a:t>
              </a:r>
              <a:r>
                <a:rPr kumimoji="1" lang="en-US" altLang="ja-JP" sz="1200" b="0" i="0">
                  <a:latin typeface="Cambria Math"/>
                </a:rPr>
                <a:t>𝛼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200" b="0" i="0">
                  <a:latin typeface="Cambria Math"/>
                </a:rPr>
                <a:t>𝛽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▒</a:t>
              </a:r>
              <a:r>
                <a:rPr kumimoji="1" lang="en-US" altLang="ja-JP" sz="1200" b="0" i="0">
                  <a:latin typeface="Cambria Math"/>
                </a:rPr>
                <a:t>𝑓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200" b="0" i="0">
                  <a:latin typeface="Cambria Math"/>
                </a:rPr>
                <a:t>𝑥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200" b="0" i="0">
                  <a:latin typeface="Cambria Math"/>
                </a:rPr>
                <a:t>𝑑𝑥=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∫_</a:t>
              </a:r>
              <a:r>
                <a:rPr kumimoji="1" lang="en-US" altLang="ja-JP" sz="1200" b="0" i="0">
                  <a:latin typeface="Cambria Math"/>
                </a:rPr>
                <a:t>𝛼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200" b="0" i="0">
                  <a:latin typeface="Cambria Math"/>
                </a:rPr>
                <a:t>𝛽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▒</a:t>
              </a:r>
              <a:r>
                <a:rPr kumimoji="1" lang="en-US" altLang="ja-JP" sz="1200" b="0" i="0">
                  <a:latin typeface="Cambria Math"/>
                </a:rPr>
                <a:t>1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/√(</a:t>
              </a:r>
              <a:r>
                <a:rPr kumimoji="1" lang="en-US" altLang="ja-JP" sz="1200" b="0" i="0">
                  <a:latin typeface="Cambria Math"/>
                </a:rPr>
                <a:t>2𝜋𝜎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𝑋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200" b="0" i="0">
                  <a:latin typeface="Cambria Math"/>
                </a:rPr>
                <a:t>2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 ) </a:t>
              </a:r>
              <a:r>
                <a:rPr kumimoji="1" lang="en-US" altLang="ja-JP" sz="1200" b="0" i="0">
                  <a:latin typeface="Cambria Math"/>
                </a:rPr>
                <a:t> exp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⁡{</a:t>
              </a:r>
              <a:r>
                <a:rPr kumimoji="1" lang="en-US" altLang="ja-JP" sz="1200" b="0" i="0">
                  <a:latin typeface="Cambria Math"/>
                </a:rPr>
                <a:t>−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200" b="0" i="0">
                  <a:latin typeface="Cambria Math"/>
                </a:rPr>
                <a:t>𝑥−𝜇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𝑋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 )^</a:t>
              </a:r>
              <a:r>
                <a:rPr kumimoji="1" lang="en-US" altLang="ja-JP" sz="1200" b="0" i="0">
                  <a:latin typeface="Cambria Math"/>
                </a:rPr>
                <a:t>2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/(</a:t>
              </a:r>
              <a:r>
                <a:rPr kumimoji="1" lang="en-US" altLang="ja-JP" sz="1200" b="0" i="0">
                  <a:latin typeface="Cambria Math"/>
                </a:rPr>
                <a:t>2𝜎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𝑋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200" b="0" i="0">
                  <a:latin typeface="Cambria Math"/>
                </a:rPr>
                <a:t>2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 )}</a:t>
              </a:r>
              <a:r>
                <a:rPr kumimoji="1" lang="en-US" altLang="ja-JP" sz="1200" b="0" i="0">
                  <a:latin typeface="Cambria Math"/>
                </a:rPr>
                <a:t>𝑑𝑥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32</xdr:col>
      <xdr:colOff>190502</xdr:colOff>
      <xdr:row>5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7616CFB5-D4FF-4F9B-A53C-A99A8335A238}"/>
                </a:ext>
              </a:extLst>
            </xdr:cNvPr>
            <xdr:cNvSpPr txBox="1"/>
          </xdr:nvSpPr>
          <xdr:spPr>
            <a:xfrm>
              <a:off x="8928102" y="920750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7616CFB5-D4FF-4F9B-A53C-A99A8335A238}"/>
                </a:ext>
              </a:extLst>
            </xdr:cNvPr>
            <xdr:cNvSpPr txBox="1"/>
          </xdr:nvSpPr>
          <xdr:spPr>
            <a:xfrm>
              <a:off x="8928102" y="920750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35</xdr:col>
      <xdr:colOff>47624</xdr:colOff>
      <xdr:row>5</xdr:row>
      <xdr:rowOff>0</xdr:rowOff>
    </xdr:from>
    <xdr:ext cx="381001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9A81B435-9666-466A-A6D9-1D7064B646E8}"/>
                </a:ext>
              </a:extLst>
            </xdr:cNvPr>
            <xdr:cNvSpPr txBox="1"/>
          </xdr:nvSpPr>
          <xdr:spPr>
            <a:xfrm>
              <a:off x="9604374" y="920750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9A81B435-9666-466A-A6D9-1D7064B646E8}"/>
                </a:ext>
              </a:extLst>
            </xdr:cNvPr>
            <xdr:cNvSpPr txBox="1"/>
          </xdr:nvSpPr>
          <xdr:spPr>
            <a:xfrm>
              <a:off x="9604374" y="920750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42</xdr:col>
      <xdr:colOff>130972</xdr:colOff>
      <xdr:row>5</xdr:row>
      <xdr:rowOff>0</xdr:rowOff>
    </xdr:from>
    <xdr:ext cx="914400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1396A17E-1118-4B6B-9FFE-707740A7B995}"/>
                </a:ext>
              </a:extLst>
            </xdr:cNvPr>
            <xdr:cNvSpPr txBox="1"/>
          </xdr:nvSpPr>
          <xdr:spPr>
            <a:xfrm>
              <a:off x="11599072" y="920750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𝑁</m:t>
                    </m:r>
                    <m:d>
                      <m:dPr>
                        <m:ctrlPr>
                          <a:rPr kumimoji="1" lang="en-US" altLang="ja-JP" sz="1400" b="0" i="1">
                            <a:latin typeface="Cambria Math"/>
                          </a:rPr>
                        </m:ctrlPr>
                      </m:dPr>
                      <m:e>
                        <m:r>
                          <a:rPr kumimoji="1" lang="en-US" altLang="ja-JP" sz="1400" b="0" i="1">
                            <a:latin typeface="Cambria Math"/>
                          </a:rPr>
                          <m:t>0, 1</m:t>
                        </m:r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1396A17E-1118-4B6B-9FFE-707740A7B995}"/>
                </a:ext>
              </a:extLst>
            </xdr:cNvPr>
            <xdr:cNvSpPr txBox="1"/>
          </xdr:nvSpPr>
          <xdr:spPr>
            <a:xfrm>
              <a:off x="11599072" y="920750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𝑁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400" b="0" i="0">
                  <a:latin typeface="Cambria Math"/>
                </a:rPr>
                <a:t>0, 1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32</xdr:col>
      <xdr:colOff>130972</xdr:colOff>
      <xdr:row>6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B039308D-9052-40CE-8FD2-C684E1353F8E}"/>
                </a:ext>
              </a:extLst>
            </xdr:cNvPr>
            <xdr:cNvSpPr txBox="1"/>
          </xdr:nvSpPr>
          <xdr:spPr>
            <a:xfrm>
              <a:off x="8868572" y="11049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𝑧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B039308D-9052-40CE-8FD2-C684E1353F8E}"/>
                </a:ext>
              </a:extLst>
            </xdr:cNvPr>
            <xdr:cNvSpPr txBox="1"/>
          </xdr:nvSpPr>
          <xdr:spPr>
            <a:xfrm>
              <a:off x="8868572" y="11049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𝑍&gt;𝑧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33</xdr:col>
      <xdr:colOff>0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E27A0E9B-D7CA-424B-9393-700615322DEE}"/>
                </a:ext>
              </a:extLst>
            </xdr:cNvPr>
            <xdr:cNvSpPr txBox="1"/>
          </xdr:nvSpPr>
          <xdr:spPr>
            <a:xfrm>
              <a:off x="9010650" y="14732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E27A0E9B-D7CA-424B-9393-700615322DEE}"/>
                </a:ext>
              </a:extLst>
            </xdr:cNvPr>
            <xdr:cNvSpPr txBox="1"/>
          </xdr:nvSpPr>
          <xdr:spPr>
            <a:xfrm>
              <a:off x="9010650" y="14732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𝑧=2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40</xdr:col>
      <xdr:colOff>71436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テキスト ボックス 7">
              <a:extLst>
                <a:ext uri="{FF2B5EF4-FFF2-40B4-BE49-F238E27FC236}">
                  <a16:creationId xmlns:a16="http://schemas.microsoft.com/office/drawing/2014/main" id="{E7011581-0EA6-4AC8-B71D-8CA988BD706E}"/>
                </a:ext>
              </a:extLst>
            </xdr:cNvPr>
            <xdr:cNvSpPr txBox="1"/>
          </xdr:nvSpPr>
          <xdr:spPr>
            <a:xfrm>
              <a:off x="10993436" y="14732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8" name="テキスト ボックス 7">
              <a:extLst>
                <a:ext uri="{FF2B5EF4-FFF2-40B4-BE49-F238E27FC236}">
                  <a16:creationId xmlns:a16="http://schemas.microsoft.com/office/drawing/2014/main" id="{E7011581-0EA6-4AC8-B71D-8CA988BD706E}"/>
                </a:ext>
              </a:extLst>
            </xdr:cNvPr>
            <xdr:cNvSpPr txBox="1"/>
          </xdr:nvSpPr>
          <xdr:spPr>
            <a:xfrm>
              <a:off x="10993436" y="14732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𝑍&gt;2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twoCellAnchor>
    <xdr:from>
      <xdr:col>36</xdr:col>
      <xdr:colOff>0</xdr:colOff>
      <xdr:row>9</xdr:row>
      <xdr:rowOff>0</xdr:rowOff>
    </xdr:from>
    <xdr:to>
      <xdr:col>49</xdr:col>
      <xdr:colOff>100012</xdr:colOff>
      <xdr:row>14</xdr:row>
      <xdr:rowOff>72188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5F07BC6-6CFC-40D0-91E9-9B6ACBA4C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178594</xdr:colOff>
      <xdr:row>14</xdr:row>
      <xdr:rowOff>47626</xdr:rowOff>
    </xdr:from>
    <xdr:to>
      <xdr:col>45</xdr:col>
      <xdr:colOff>186013</xdr:colOff>
      <xdr:row>15</xdr:row>
      <xdr:rowOff>250031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7149D383-563F-4374-A59C-DA4E3CABDFCF}"/>
            </a:ext>
          </a:extLst>
        </xdr:cNvPr>
        <xdr:cNvCxnSpPr/>
      </xdr:nvCxnSpPr>
      <xdr:spPr>
        <a:xfrm flipH="1" flipV="1">
          <a:off x="12465844" y="2625726"/>
          <a:ext cx="7419" cy="3230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44</xdr:col>
      <xdr:colOff>166690</xdr:colOff>
      <xdr:row>15</xdr:row>
      <xdr:rowOff>202408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テキスト ボックス 10">
              <a:extLst>
                <a:ext uri="{FF2B5EF4-FFF2-40B4-BE49-F238E27FC236}">
                  <a16:creationId xmlns:a16="http://schemas.microsoft.com/office/drawing/2014/main" id="{1160E8BE-A148-417F-ADAB-0ECB27835FE0}"/>
                </a:ext>
              </a:extLst>
            </xdr:cNvPr>
            <xdr:cNvSpPr txBox="1"/>
          </xdr:nvSpPr>
          <xdr:spPr>
            <a:xfrm>
              <a:off x="12180890" y="2945608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Choice>
      <mc:Fallback xmlns="">
        <xdr:sp macro="" textlink="">
          <xdr:nvSpPr>
            <xdr:cNvPr id="11" name="テキスト ボックス 10">
              <a:extLst>
                <a:ext uri="{FF2B5EF4-FFF2-40B4-BE49-F238E27FC236}">
                  <a16:creationId xmlns:a16="http://schemas.microsoft.com/office/drawing/2014/main" id="{1160E8BE-A148-417F-ADAB-0ECB27835FE0}"/>
                </a:ext>
              </a:extLst>
            </xdr:cNvPr>
            <xdr:cNvSpPr txBox="1"/>
          </xdr:nvSpPr>
          <xdr:spPr>
            <a:xfrm>
              <a:off x="12180890" y="2945608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chemeClr val="accent1"/>
                  </a:solidFill>
                  <a:latin typeface="Cambria Math"/>
                </a:rPr>
                <a:t>𝑧=2</a:t>
              </a:r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Fallback>
    </mc:AlternateContent>
    <xdr:clientData/>
  </xdr:oneCellAnchor>
  <xdr:twoCellAnchor>
    <xdr:from>
      <xdr:col>43</xdr:col>
      <xdr:colOff>178593</xdr:colOff>
      <xdr:row>8</xdr:row>
      <xdr:rowOff>285750</xdr:rowOff>
    </xdr:from>
    <xdr:to>
      <xdr:col>46</xdr:col>
      <xdr:colOff>11908</xdr:colOff>
      <xdr:row>13</xdr:row>
      <xdr:rowOff>11906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F8E656B0-1572-4FAB-AB3D-7426B60F24F9}"/>
            </a:ext>
          </a:extLst>
        </xdr:cNvPr>
        <xdr:cNvCxnSpPr/>
      </xdr:nvCxnSpPr>
      <xdr:spPr>
        <a:xfrm>
          <a:off x="11919743" y="1657350"/>
          <a:ext cx="652465" cy="74850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0</xdr:colOff>
      <xdr:row>17</xdr:row>
      <xdr:rowOff>0</xdr:rowOff>
    </xdr:from>
    <xdr:ext cx="6318250" cy="1508125"/>
    <xdr:pic>
      <xdr:nvPicPr>
        <xdr:cNvPr id="13" name="図 12">
          <a:extLst>
            <a:ext uri="{FF2B5EF4-FFF2-40B4-BE49-F238E27FC236}">
              <a16:creationId xmlns:a16="http://schemas.microsoft.com/office/drawing/2014/main" id="{371CC277-668F-43D5-842C-BFA5AA32E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3130550"/>
          <a:ext cx="6318250" cy="150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6318250" cy="1257299"/>
    <xdr:pic>
      <xdr:nvPicPr>
        <xdr:cNvPr id="14" name="図 13">
          <a:extLst>
            <a:ext uri="{FF2B5EF4-FFF2-40B4-BE49-F238E27FC236}">
              <a16:creationId xmlns:a16="http://schemas.microsoft.com/office/drawing/2014/main" id="{007D381C-1605-4BC3-A35D-FB9294497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4051300"/>
          <a:ext cx="6318250" cy="1257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27</xdr:col>
      <xdr:colOff>35718</xdr:colOff>
      <xdr:row>21</xdr:row>
      <xdr:rowOff>250031</xdr:rowOff>
    </xdr:from>
    <xdr:to>
      <xdr:col>50</xdr:col>
      <xdr:colOff>47625</xdr:colOff>
      <xdr:row>21</xdr:row>
      <xdr:rowOff>250031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1A3CC48E-FA6C-4B18-8561-2758B0DC8E28}"/>
            </a:ext>
          </a:extLst>
        </xdr:cNvPr>
        <xdr:cNvCxnSpPr/>
      </xdr:nvCxnSpPr>
      <xdr:spPr>
        <a:xfrm>
          <a:off x="7408068" y="4053681"/>
          <a:ext cx="6292057" cy="0"/>
        </a:xfrm>
        <a:prstGeom prst="line">
          <a:avLst/>
        </a:prstGeom>
        <a:ln w="19050">
          <a:solidFill>
            <a:sysClr val="windowText" lastClr="000000"/>
          </a:solidFill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35717</xdr:colOff>
      <xdr:row>23</xdr:row>
      <xdr:rowOff>180977</xdr:rowOff>
    </xdr:from>
    <xdr:to>
      <xdr:col>50</xdr:col>
      <xdr:colOff>83343</xdr:colOff>
      <xdr:row>24</xdr:row>
      <xdr:rowOff>169072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666812CF-F0B1-4841-B824-6253A4ABAADC}"/>
            </a:ext>
          </a:extLst>
        </xdr:cNvPr>
        <xdr:cNvSpPr/>
      </xdr:nvSpPr>
      <xdr:spPr>
        <a:xfrm>
          <a:off x="7408067" y="4416427"/>
          <a:ext cx="6327776" cy="1722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21430</xdr:colOff>
      <xdr:row>16</xdr:row>
      <xdr:rowOff>285752</xdr:rowOff>
    </xdr:from>
    <xdr:to>
      <xdr:col>31</xdr:col>
      <xdr:colOff>95248</xdr:colOff>
      <xdr:row>26</xdr:row>
      <xdr:rowOff>73822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2B76D0E-9B14-4ED5-8A11-4A4AED148750}"/>
            </a:ext>
          </a:extLst>
        </xdr:cNvPr>
        <xdr:cNvSpPr/>
      </xdr:nvSpPr>
      <xdr:spPr>
        <a:xfrm>
          <a:off x="7939880" y="3130552"/>
          <a:ext cx="619918" cy="17311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30</xdr:col>
      <xdr:colOff>190502</xdr:colOff>
      <xdr:row>29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1322D209-58FD-43C8-B95C-08CAB3390D1E}"/>
                </a:ext>
              </a:extLst>
            </xdr:cNvPr>
            <xdr:cNvSpPr txBox="1"/>
          </xdr:nvSpPr>
          <xdr:spPr>
            <a:xfrm>
              <a:off x="8382002" y="5340350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1322D209-58FD-43C8-B95C-08CAB3390D1E}"/>
                </a:ext>
              </a:extLst>
            </xdr:cNvPr>
            <xdr:cNvSpPr txBox="1"/>
          </xdr:nvSpPr>
          <xdr:spPr>
            <a:xfrm>
              <a:off x="8382002" y="5340350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30</xdr:col>
      <xdr:colOff>71442</xdr:colOff>
      <xdr:row>30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07320325-FE63-415F-97EC-C28E273ADC85}"/>
                </a:ext>
              </a:extLst>
            </xdr:cNvPr>
            <xdr:cNvSpPr txBox="1"/>
          </xdr:nvSpPr>
          <xdr:spPr>
            <a:xfrm>
              <a:off x="8262942" y="5524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07320325-FE63-415F-97EC-C28E273ADC85}"/>
                </a:ext>
              </a:extLst>
            </xdr:cNvPr>
            <xdr:cNvSpPr txBox="1"/>
          </xdr:nvSpPr>
          <xdr:spPr>
            <a:xfrm>
              <a:off x="8262942" y="5524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𝑍&gt;2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BE2F276D-4C0B-4E38-9E7A-F64713979650}"/>
            </a:ext>
          </a:extLst>
        </xdr:cNvPr>
        <xdr:cNvSpPr txBox="1"/>
      </xdr:nvSpPr>
      <xdr:spPr>
        <a:xfrm>
          <a:off x="15017750" y="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07FB5134-4DC6-4620-8DBE-45D1166402B0}"/>
            </a:ext>
          </a:extLst>
        </xdr:cNvPr>
        <xdr:cNvSpPr txBox="1"/>
      </xdr:nvSpPr>
      <xdr:spPr>
        <a:xfrm>
          <a:off x="15017750" y="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54CA7454-0C85-4A8C-9E08-9894E9D13779}"/>
            </a:ext>
          </a:extLst>
        </xdr:cNvPr>
        <xdr:cNvSpPr txBox="1"/>
      </xdr:nvSpPr>
      <xdr:spPr>
        <a:xfrm>
          <a:off x="15017750" y="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AAD15820-36C0-402C-84AA-8DC5E08379B6}"/>
            </a:ext>
          </a:extLst>
        </xdr:cNvPr>
        <xdr:cNvSpPr txBox="1"/>
      </xdr:nvSpPr>
      <xdr:spPr>
        <a:xfrm>
          <a:off x="15017750" y="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6AB519A5-7AE8-44D4-977A-7217AE23202D}"/>
            </a:ext>
          </a:extLst>
        </xdr:cNvPr>
        <xdr:cNvSpPr txBox="1"/>
      </xdr:nvSpPr>
      <xdr:spPr>
        <a:xfrm>
          <a:off x="15017750" y="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858CA9A9-A087-43FD-938C-69596687580B}"/>
            </a:ext>
          </a:extLst>
        </xdr:cNvPr>
        <xdr:cNvSpPr txBox="1"/>
      </xdr:nvSpPr>
      <xdr:spPr>
        <a:xfrm>
          <a:off x="15017750" y="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706793FD-AF55-44B8-B946-A9D636AD0ACB}"/>
            </a:ext>
          </a:extLst>
        </xdr:cNvPr>
        <xdr:cNvSpPr txBox="1"/>
      </xdr:nvSpPr>
      <xdr:spPr>
        <a:xfrm>
          <a:off x="15017750" y="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BFB5B8C2-B57C-4AED-BF32-BD1CD763D3A2}"/>
            </a:ext>
          </a:extLst>
        </xdr:cNvPr>
        <xdr:cNvSpPr txBox="1"/>
      </xdr:nvSpPr>
      <xdr:spPr>
        <a:xfrm>
          <a:off x="15017750" y="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109F636C-A291-45A0-9E3C-2DBB986C54FD}"/>
            </a:ext>
          </a:extLst>
        </xdr:cNvPr>
        <xdr:cNvSpPr txBox="1"/>
      </xdr:nvSpPr>
      <xdr:spPr>
        <a:xfrm>
          <a:off x="15017750" y="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AF9851CD-2D57-4279-B87D-C40F59064B02}"/>
            </a:ext>
          </a:extLst>
        </xdr:cNvPr>
        <xdr:cNvSpPr txBox="1"/>
      </xdr:nvSpPr>
      <xdr:spPr>
        <a:xfrm>
          <a:off x="15017750" y="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28</xdr:row>
      <xdr:rowOff>0</xdr:rowOff>
    </xdr:from>
    <xdr:ext cx="2488406" cy="311496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CA57941A-CA49-4D56-978C-0F690954D653}"/>
            </a:ext>
          </a:extLst>
        </xdr:cNvPr>
        <xdr:cNvSpPr txBox="1"/>
      </xdr:nvSpPr>
      <xdr:spPr>
        <a:xfrm>
          <a:off x="21297900" y="5156200"/>
          <a:ext cx="2488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30</xdr:row>
      <xdr:rowOff>166683</xdr:rowOff>
    </xdr:from>
    <xdr:ext cx="2226470" cy="311496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D6E7D4C9-C2EA-4B71-AC56-32619AAA8C4F}"/>
            </a:ext>
          </a:extLst>
        </xdr:cNvPr>
        <xdr:cNvSpPr txBox="1"/>
      </xdr:nvSpPr>
      <xdr:spPr>
        <a:xfrm>
          <a:off x="21297900" y="5691183"/>
          <a:ext cx="22264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84</xdr:col>
      <xdr:colOff>95254</xdr:colOff>
      <xdr:row>6</xdr:row>
      <xdr:rowOff>0</xdr:rowOff>
    </xdr:from>
    <xdr:ext cx="476243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テキスト ボックス 31">
              <a:extLst>
                <a:ext uri="{FF2B5EF4-FFF2-40B4-BE49-F238E27FC236}">
                  <a16:creationId xmlns:a16="http://schemas.microsoft.com/office/drawing/2014/main" id="{5D0AB8DF-341E-47E9-9D2B-E006A86723CD}"/>
                </a:ext>
              </a:extLst>
            </xdr:cNvPr>
            <xdr:cNvSpPr txBox="1"/>
          </xdr:nvSpPr>
          <xdr:spPr>
            <a:xfrm>
              <a:off x="23031454" y="1104900"/>
              <a:ext cx="476243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kumimoji="1" lang="en-US" altLang="ja-JP" sz="1400" b="0" i="1">
                            <a:latin typeface="Cambria Math"/>
                          </a:rPr>
                        </m:ctrlPr>
                      </m:accPr>
                      <m:e>
                        <m:r>
                          <a:rPr kumimoji="1" lang="en-US" altLang="ja-JP" sz="1400" b="0" i="1">
                            <a:latin typeface="Cambria Math"/>
                          </a:rPr>
                          <m:t>𝑋</m:t>
                        </m:r>
                      </m:e>
                    </m:ac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32" name="テキスト ボックス 31">
              <a:extLst>
                <a:ext uri="{FF2B5EF4-FFF2-40B4-BE49-F238E27FC236}">
                  <a16:creationId xmlns:a16="http://schemas.microsoft.com/office/drawing/2014/main" id="{5D0AB8DF-341E-47E9-9D2B-E006A86723CD}"/>
                </a:ext>
              </a:extLst>
            </xdr:cNvPr>
            <xdr:cNvSpPr txBox="1"/>
          </xdr:nvSpPr>
          <xdr:spPr>
            <a:xfrm>
              <a:off x="23031454" y="1104900"/>
              <a:ext cx="476243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 ̅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90</xdr:col>
      <xdr:colOff>0</xdr:colOff>
      <xdr:row>5</xdr:row>
      <xdr:rowOff>178596</xdr:rowOff>
    </xdr:from>
    <xdr:ext cx="2345531" cy="514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テキスト ボックス 32">
              <a:extLst>
                <a:ext uri="{FF2B5EF4-FFF2-40B4-BE49-F238E27FC236}">
                  <a16:creationId xmlns:a16="http://schemas.microsoft.com/office/drawing/2014/main" id="{92566A05-2B50-44C3-BB08-F9FC81A49408}"/>
                </a:ext>
              </a:extLst>
            </xdr:cNvPr>
            <xdr:cNvSpPr txBox="1"/>
          </xdr:nvSpPr>
          <xdr:spPr>
            <a:xfrm>
              <a:off x="24574500" y="1099346"/>
              <a:ext cx="2345531" cy="514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kumimoji="1" lang="ja-JP" altLang="en-US" sz="1400" b="0" i="1">
                        <a:latin typeface="Cambria Math"/>
                      </a:rPr>
                      <m:t>平均</m:t>
                    </m:r>
                    <m:r>
                      <a:rPr kumimoji="1" lang="en-US" altLang="ja-JP" sz="1400" b="0" i="1">
                        <a:latin typeface="Cambria Math"/>
                      </a:rPr>
                      <m:t>=2.00   </m:t>
                    </m:r>
                    <m:r>
                      <a:rPr kumimoji="1" lang="ja-JP" altLang="en-US" sz="1400" b="0" i="1">
                        <a:latin typeface="Cambria Math"/>
                      </a:rPr>
                      <m:t>分散</m:t>
                    </m:r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/>
                          </a:rPr>
                        </m:ctrlPr>
                      </m:fPr>
                      <m:num>
                        <m:r>
                          <a:rPr kumimoji="1" lang="en-US" altLang="ja-JP" sz="1400" b="0" i="1">
                            <a:latin typeface="Cambria Math"/>
                          </a:rPr>
                          <m:t>1.976</m:t>
                        </m:r>
                      </m:num>
                      <m:den>
                        <m:r>
                          <a:rPr kumimoji="1" lang="en-US" altLang="ja-JP" sz="1400" b="0" i="1">
                            <a:latin typeface="Cambria Math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33" name="テキスト ボックス 32">
              <a:extLst>
                <a:ext uri="{FF2B5EF4-FFF2-40B4-BE49-F238E27FC236}">
                  <a16:creationId xmlns:a16="http://schemas.microsoft.com/office/drawing/2014/main" id="{92566A05-2B50-44C3-BB08-F9FC81A49408}"/>
                </a:ext>
              </a:extLst>
            </xdr:cNvPr>
            <xdr:cNvSpPr txBox="1"/>
          </xdr:nvSpPr>
          <xdr:spPr>
            <a:xfrm>
              <a:off x="24574500" y="1099346"/>
              <a:ext cx="2345531" cy="514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ja-JP" altLang="en-US" sz="1400" b="0" i="0">
                  <a:latin typeface="Cambria Math"/>
                </a:rPr>
                <a:t>平均</a:t>
              </a:r>
              <a:r>
                <a:rPr kumimoji="1" lang="en-US" altLang="ja-JP" sz="1400" b="0" i="0">
                  <a:latin typeface="Cambria Math"/>
                </a:rPr>
                <a:t>=2.00   </a:t>
              </a:r>
              <a:r>
                <a:rPr kumimoji="1" lang="ja-JP" altLang="en-US" sz="1400" b="0" i="0">
                  <a:latin typeface="Cambria Math"/>
                </a:rPr>
                <a:t>分散</a:t>
              </a:r>
              <a:r>
                <a:rPr kumimoji="1" lang="en-US" altLang="ja-JP" sz="1400" b="0" i="0">
                  <a:latin typeface="Cambria Math"/>
                </a:rPr>
                <a:t>=1.976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/</a:t>
              </a:r>
              <a:r>
                <a:rPr kumimoji="1" lang="en-US" altLang="ja-JP" sz="1400" b="0" i="0">
                  <a:latin typeface="Cambria Math"/>
                </a:rPr>
                <a:t>𝑛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88</xdr:col>
      <xdr:colOff>226221</xdr:colOff>
      <xdr:row>9</xdr:row>
      <xdr:rowOff>0</xdr:rowOff>
    </xdr:from>
    <xdr:ext cx="1631156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テキスト ボックス 33">
              <a:extLst>
                <a:ext uri="{FF2B5EF4-FFF2-40B4-BE49-F238E27FC236}">
                  <a16:creationId xmlns:a16="http://schemas.microsoft.com/office/drawing/2014/main" id="{C8BB8570-A48A-4026-AC9D-FA8F87F5B119}"/>
                </a:ext>
              </a:extLst>
            </xdr:cNvPr>
            <xdr:cNvSpPr txBox="1"/>
          </xdr:nvSpPr>
          <xdr:spPr>
            <a:xfrm>
              <a:off x="24254621" y="1657350"/>
              <a:ext cx="1631156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̅"/>
                                    <m:ctrlPr>
                                      <a:rPr kumimoji="1" lang="en-US" altLang="ja-JP" sz="1400" b="0" i="1">
                                        <a:latin typeface="Cambria Math"/>
                                      </a:rPr>
                                    </m:ctrlPr>
                                  </m:acc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e>
                                </m:acc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kumimoji="1" lang="en-US" altLang="ja-JP" sz="1400" b="0" i="1">
                                        <a:latin typeface="Cambria Math"/>
                                      </a:rPr>
                                    </m:ctrlPr>
                                  </m:sSub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</m:sSub>
                              </m:e>
                            </m:d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&lt;0.1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34" name="テキスト ボックス 33">
              <a:extLst>
                <a:ext uri="{FF2B5EF4-FFF2-40B4-BE49-F238E27FC236}">
                  <a16:creationId xmlns:a16="http://schemas.microsoft.com/office/drawing/2014/main" id="{C8BB8570-A48A-4026-AC9D-FA8F87F5B119}"/>
                </a:ext>
              </a:extLst>
            </xdr:cNvPr>
            <xdr:cNvSpPr txBox="1"/>
          </xdr:nvSpPr>
          <xdr:spPr>
            <a:xfrm>
              <a:off x="24254621" y="1657350"/>
              <a:ext cx="1631156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⁡(|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 ̅</a:t>
              </a:r>
              <a:r>
                <a:rPr kumimoji="1" lang="en-US" altLang="ja-JP" sz="1400" b="0" i="0">
                  <a:latin typeface="Cambria Math"/>
                </a:rPr>
                <a:t>−𝜇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 |</a:t>
              </a:r>
              <a:r>
                <a:rPr kumimoji="1" lang="en-US" altLang="ja-JP" sz="1400" b="0" i="0">
                  <a:latin typeface="Cambria Math"/>
                </a:rPr>
                <a:t>&lt;0.1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83</xdr:col>
      <xdr:colOff>0</xdr:colOff>
      <xdr:row>12</xdr:row>
      <xdr:rowOff>0</xdr:rowOff>
    </xdr:from>
    <xdr:ext cx="5143500" cy="9903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テキスト ボックス 34">
              <a:extLst>
                <a:ext uri="{FF2B5EF4-FFF2-40B4-BE49-F238E27FC236}">
                  <a16:creationId xmlns:a16="http://schemas.microsoft.com/office/drawing/2014/main" id="{07FEC414-1783-4716-995E-C31E88ABF6E9}"/>
                </a:ext>
              </a:extLst>
            </xdr:cNvPr>
            <xdr:cNvSpPr txBox="1"/>
          </xdr:nvSpPr>
          <xdr:spPr>
            <a:xfrm>
              <a:off x="22663150" y="2209800"/>
              <a:ext cx="5143500" cy="9903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acc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r>
                          <a:rPr kumimoji="1" lang="en-US" altLang="ja-JP" sz="1400" b="0" i="1">
                            <a:latin typeface="Cambria Math"/>
                          </a:rPr>
                          <m:t>𝐸</m:t>
                        </m:r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kumimoji="1" lang="en-US" altLang="ja-JP" sz="1400" b="0" i="1">
                                    <a:latin typeface="Cambria Math"/>
                                  </a:rPr>
                                </m:ctrlPr>
                              </m:accPr>
                              <m:e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𝑋</m:t>
                                </m:r>
                              </m:e>
                            </m:acc>
                          </m:e>
                        </m:d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𝑉𝑎𝑟</m:t>
                            </m:r>
                            <m:d>
                              <m:dPr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̅"/>
                                    <m:ctrlPr>
                                      <a:rPr kumimoji="1" lang="en-US" altLang="ja-JP" sz="1400" b="0" i="1">
                                        <a:latin typeface="Cambria Math"/>
                                      </a:rPr>
                                    </m:ctrlPr>
                                  </m:acc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e>
                                </m:acc>
                              </m:e>
                            </m:d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acc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sSub>
                          <m:sSub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sSub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𝜇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Sup>
                                  <m:sSubSupPr>
                                    <m:ctrlPr>
                                      <a:rPr kumimoji="1" lang="en-US" altLang="ja-JP" sz="14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𝑛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ja-JP" altLang="en-US" sz="1400" b="0" i="1">
                            <a:latin typeface="Cambria Math"/>
                          </a:rPr>
                        </m:ctrlPr>
                      </m:fPr>
                      <m:num>
                        <m:r>
                          <a:rPr kumimoji="1" lang="ja-JP" altLang="en-US" sz="1400" b="0" i="1">
                            <a:latin typeface="Cambria Math"/>
                          </a:rPr>
                          <m:t>標本平均</m:t>
                        </m:r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r>
                          <a:rPr kumimoji="1" lang="ja-JP" altLang="en-US" sz="1400" b="0" i="1">
                            <a:latin typeface="Cambria Math"/>
                          </a:rPr>
                          <m:t>母平均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ja-JP" altLang="en-US" sz="1400" b="0" i="1">
                                    <a:latin typeface="Cambria Math"/>
                                  </a:rPr>
                                </m:ctrlPr>
                              </m:fPr>
                              <m:num>
                                <m:r>
                                  <a:rPr kumimoji="1" lang="ja-JP" altLang="en-US" sz="1400" b="0" i="1">
                                    <a:latin typeface="Cambria Math"/>
                                  </a:rPr>
                                  <m:t>母分散</m:t>
                                </m:r>
                              </m:num>
                              <m:den>
                                <m:r>
                                  <a:rPr kumimoji="1" lang="ja-JP" altLang="en-US" sz="1400" b="0" i="1">
                                    <a:latin typeface="Cambria Math"/>
                                  </a:rPr>
                                  <m:t>標本数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2.10−2.00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1.976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200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≈1.01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35" name="テキスト ボックス 34">
              <a:extLst>
                <a:ext uri="{FF2B5EF4-FFF2-40B4-BE49-F238E27FC236}">
                  <a16:creationId xmlns:a16="http://schemas.microsoft.com/office/drawing/2014/main" id="{07FEC414-1783-4716-995E-C31E88ABF6E9}"/>
                </a:ext>
              </a:extLst>
            </xdr:cNvPr>
            <xdr:cNvSpPr txBox="1"/>
          </xdr:nvSpPr>
          <xdr:spPr>
            <a:xfrm>
              <a:off x="22663150" y="2209800"/>
              <a:ext cx="5143500" cy="9903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𝑍=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 ̅</a:t>
              </a:r>
              <a:r>
                <a:rPr kumimoji="1" lang="en-US" altLang="ja-JP" sz="1400" b="0" i="0">
                  <a:latin typeface="Cambria Math"/>
                </a:rPr>
                <a:t>−𝐸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 ̅ ))/√(</a:t>
              </a:r>
              <a:r>
                <a:rPr kumimoji="1" lang="en-US" altLang="ja-JP" sz="1400" b="0" i="0">
                  <a:latin typeface="Cambria Math"/>
                </a:rPr>
                <a:t>𝑉𝑎𝑟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 ̅ ) )</a:t>
              </a:r>
              <a:r>
                <a:rPr kumimoji="1" lang="en-US" altLang="ja-JP" sz="1400" b="0" i="0">
                  <a:latin typeface="Cambria Math"/>
                </a:rPr>
                <a:t>=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 ̅</a:t>
              </a:r>
              <a:r>
                <a:rPr kumimoji="1" lang="en-US" altLang="ja-JP" sz="1400" b="0" i="0">
                  <a:latin typeface="Cambria Math"/>
                </a:rPr>
                <a:t>−𝜇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)/√((</a:t>
              </a:r>
              <a:r>
                <a:rPr kumimoji="1" lang="en-US" altLang="ja-JP" sz="1400" b="0" i="0">
                  <a:latin typeface="Cambria Math"/>
                </a:rPr>
                <a:t>𝜎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400" b="0" i="0">
                  <a:latin typeface="Cambria Math"/>
                </a:rPr>
                <a:t>2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)/</a:t>
              </a:r>
              <a:r>
                <a:rPr kumimoji="1" lang="en-US" altLang="ja-JP" sz="1400" b="0" i="0">
                  <a:latin typeface="Cambria Math"/>
                </a:rPr>
                <a:t>𝑛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latin typeface="Cambria Math"/>
                </a:rPr>
                <a:t>=</a:t>
              </a:r>
              <a:r>
                <a:rPr kumimoji="1" lang="ja-JP" altLang="en-US" sz="1400" b="0" i="0">
                  <a:latin typeface="Cambria Math" panose="02040503050406030204" pitchFamily="18" charset="0"/>
                </a:rPr>
                <a:t>(</a:t>
              </a:r>
              <a:r>
                <a:rPr kumimoji="1" lang="ja-JP" altLang="en-US" sz="1400" b="0" i="0">
                  <a:latin typeface="Cambria Math"/>
                </a:rPr>
                <a:t>標本平均</a:t>
              </a:r>
              <a:r>
                <a:rPr kumimoji="1" lang="en-US" altLang="ja-JP" sz="1400" b="0" i="0">
                  <a:latin typeface="Cambria Math"/>
                </a:rPr>
                <a:t>−</a:t>
              </a:r>
              <a:r>
                <a:rPr kumimoji="1" lang="ja-JP" altLang="en-US" sz="1400" b="0" i="0">
                  <a:latin typeface="Cambria Math"/>
                </a:rPr>
                <a:t>母平均</a:t>
              </a:r>
              <a:r>
                <a:rPr kumimoji="1" lang="ja-JP" altLang="en-US" sz="1400" b="0" i="0">
                  <a:latin typeface="Cambria Math" panose="02040503050406030204" pitchFamily="18" charset="0"/>
                </a:rPr>
                <a:t>)/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√(</a:t>
              </a:r>
              <a:r>
                <a:rPr kumimoji="1" lang="ja-JP" altLang="en-US" sz="1400" b="0" i="0">
                  <a:latin typeface="Cambria Math"/>
                </a:rPr>
                <a:t>母分散</a:t>
              </a:r>
              <a:r>
                <a:rPr kumimoji="1" lang="ja-JP" altLang="en-US" sz="1400" b="0" i="0">
                  <a:latin typeface="Cambria Math" panose="02040503050406030204" pitchFamily="18" charset="0"/>
                </a:rPr>
                <a:t>/</a:t>
              </a:r>
              <a:r>
                <a:rPr kumimoji="1" lang="ja-JP" altLang="en-US" sz="1400" b="0" i="0">
                  <a:latin typeface="Cambria Math"/>
                </a:rPr>
                <a:t>標本数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latin typeface="Cambria Math"/>
                </a:rPr>
                <a:t>=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2.10−2.00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)/√(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1.976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200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≈1.01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83</xdr:col>
      <xdr:colOff>-1</xdr:colOff>
      <xdr:row>17</xdr:row>
      <xdr:rowOff>0</xdr:rowOff>
    </xdr:from>
    <xdr:ext cx="188118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テキスト ボックス 35">
              <a:extLst>
                <a:ext uri="{FF2B5EF4-FFF2-40B4-BE49-F238E27FC236}">
                  <a16:creationId xmlns:a16="http://schemas.microsoft.com/office/drawing/2014/main" id="{2659C118-3503-48BF-AB37-53E00DB16E9F}"/>
                </a:ext>
              </a:extLst>
            </xdr:cNvPr>
            <xdr:cNvSpPr txBox="1"/>
          </xdr:nvSpPr>
          <xdr:spPr>
            <a:xfrm>
              <a:off x="22663149" y="3130550"/>
              <a:ext cx="188118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−1.01&lt;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&lt;1.01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36" name="テキスト ボックス 35">
              <a:extLst>
                <a:ext uri="{FF2B5EF4-FFF2-40B4-BE49-F238E27FC236}">
                  <a16:creationId xmlns:a16="http://schemas.microsoft.com/office/drawing/2014/main" id="{2659C118-3503-48BF-AB37-53E00DB16E9F}"/>
                </a:ext>
              </a:extLst>
            </xdr:cNvPr>
            <xdr:cNvSpPr txBox="1"/>
          </xdr:nvSpPr>
          <xdr:spPr>
            <a:xfrm>
              <a:off x="22663149" y="3130550"/>
              <a:ext cx="188118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−1.01&lt;𝑍&lt;1.01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116</xdr:col>
      <xdr:colOff>0</xdr:colOff>
      <xdr:row>3</xdr:row>
      <xdr:rowOff>0</xdr:rowOff>
    </xdr:from>
    <xdr:ext cx="2202656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テキスト ボックス 36">
              <a:extLst>
                <a:ext uri="{FF2B5EF4-FFF2-40B4-BE49-F238E27FC236}">
                  <a16:creationId xmlns:a16="http://schemas.microsoft.com/office/drawing/2014/main" id="{DEC488A8-F4A4-4EC9-B1E5-F8BD00686529}"/>
                </a:ext>
              </a:extLst>
            </xdr:cNvPr>
            <xdr:cNvSpPr txBox="1"/>
          </xdr:nvSpPr>
          <xdr:spPr>
            <a:xfrm>
              <a:off x="31673800" y="55245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kumimoji="1" lang="en-US" altLang="ja-JP" sz="1100" b="0" i="0">
                          <a:latin typeface="Cambria Math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kumimoji="1" lang="en-US" altLang="ja-JP" sz="1100" b="0" i="0">
                          <a:latin typeface="Cambria Math"/>
                        </a:rPr>
                        <m:t>Pr</m:t>
                      </m:r>
                    </m:fName>
                    <m:e>
                      <m:d>
                        <m:dPr>
                          <m:ctrlPr>
                            <a:rPr kumimoji="1" lang="en-US" altLang="ja-JP" sz="1100" b="0" i="1">
                              <a:latin typeface="Cambria Math"/>
                            </a:rPr>
                          </m:ctrlPr>
                        </m:dPr>
                        <m:e>
                          <m:r>
                            <a:rPr kumimoji="1" lang="en-US" altLang="ja-JP" sz="1100" b="0" i="1">
                              <a:latin typeface="Cambria Math"/>
                            </a:rPr>
                            <m:t>−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𝑇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</m:e>
                      </m:d>
                    </m:e>
                  </m:func>
                  <m:r>
                    <a:rPr kumimoji="1" lang="en-US" altLang="ja-JP" sz="1100" b="0" i="1">
                      <a:latin typeface="Cambria Math"/>
                    </a:rPr>
                    <m:t>=0.</m:t>
                  </m:r>
                </m:oMath>
              </a14:m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37" name="テキスト ボックス 36">
              <a:extLst>
                <a:ext uri="{FF2B5EF4-FFF2-40B4-BE49-F238E27FC236}">
                  <a16:creationId xmlns:a16="http://schemas.microsoft.com/office/drawing/2014/main" id="{DEC488A8-F4A4-4EC9-B1E5-F8BD00686529}"/>
                </a:ext>
              </a:extLst>
            </xdr:cNvPr>
            <xdr:cNvSpPr txBox="1"/>
          </xdr:nvSpPr>
          <xdr:spPr>
            <a:xfrm>
              <a:off x="31673800" y="55245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100" b="0" i="0">
                  <a:latin typeface="Cambria Math"/>
                </a:rPr>
                <a:t>&lt;𝑇&lt;𝑡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))</a:t>
              </a:r>
              <a:r>
                <a:rPr kumimoji="1" lang="en-US" altLang="ja-JP" sz="1100" b="0" i="0">
                  <a:latin typeface="Cambria Math"/>
                </a:rPr>
                <a:t>=0.</a:t>
              </a:r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126</xdr:col>
      <xdr:colOff>0</xdr:colOff>
      <xdr:row>3</xdr:row>
      <xdr:rowOff>0</xdr:rowOff>
    </xdr:from>
    <xdr:ext cx="523875" cy="2738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テキスト ボックス 37">
              <a:extLst>
                <a:ext uri="{FF2B5EF4-FFF2-40B4-BE49-F238E27FC236}">
                  <a16:creationId xmlns:a16="http://schemas.microsoft.com/office/drawing/2014/main" id="{1720B0E3-A500-4EC5-B4B0-61A6ABE7E1E1}"/>
                </a:ext>
              </a:extLst>
            </xdr:cNvPr>
            <xdr:cNvSpPr txBox="1"/>
          </xdr:nvSpPr>
          <xdr:spPr>
            <a:xfrm>
              <a:off x="34404300" y="55245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kumimoji="1" lang="en-US" altLang="ja-JP" sz="1100" b="0" i="1">
                            <a:latin typeface="Cambria Math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𝑡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/>
                          </a:rPr>
                          <m:t>𝛼</m:t>
                        </m:r>
                      </m:sub>
                    </m:sSub>
                    <m:d>
                      <m:dPr>
                        <m:ctrlPr>
                          <a:rPr kumimoji="1" lang="en-US" altLang="ja-JP" sz="1100" b="0" i="1">
                            <a:latin typeface="Cambria Math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𝜈</m:t>
                        </m:r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38" name="テキスト ボックス 37">
              <a:extLst>
                <a:ext uri="{FF2B5EF4-FFF2-40B4-BE49-F238E27FC236}">
                  <a16:creationId xmlns:a16="http://schemas.microsoft.com/office/drawing/2014/main" id="{1720B0E3-A500-4EC5-B4B0-61A6ABE7E1E1}"/>
                </a:ext>
              </a:extLst>
            </xdr:cNvPr>
            <xdr:cNvSpPr txBox="1"/>
          </xdr:nvSpPr>
          <xdr:spPr>
            <a:xfrm>
              <a:off x="34404300" y="55245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116</xdr:col>
      <xdr:colOff>0</xdr:colOff>
      <xdr:row>6</xdr:row>
      <xdr:rowOff>0</xdr:rowOff>
    </xdr:from>
    <xdr:ext cx="2202656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テキスト ボックス 38">
              <a:extLst>
                <a:ext uri="{FF2B5EF4-FFF2-40B4-BE49-F238E27FC236}">
                  <a16:creationId xmlns:a16="http://schemas.microsoft.com/office/drawing/2014/main" id="{61731431-132E-4B91-BADC-460E8224DEB6}"/>
                </a:ext>
              </a:extLst>
            </xdr:cNvPr>
            <xdr:cNvSpPr txBox="1"/>
          </xdr:nvSpPr>
          <xdr:spPr>
            <a:xfrm>
              <a:off x="31673800" y="11049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kumimoji="1" lang="en-US" altLang="ja-JP" sz="1100" b="0" i="0">
                          <a:latin typeface="Cambria Math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kumimoji="1" lang="en-US" altLang="ja-JP" sz="1100" b="0" i="0">
                          <a:latin typeface="Cambria Math"/>
                        </a:rPr>
                        <m:t>Pr</m:t>
                      </m:r>
                    </m:fName>
                    <m:e>
                      <m:d>
                        <m:dPr>
                          <m:ctrlPr>
                            <a:rPr kumimoji="1" lang="en-US" altLang="ja-JP" sz="1100" b="0" i="1">
                              <a:latin typeface="Cambria Math"/>
                            </a:rPr>
                          </m:ctrlPr>
                        </m:dPr>
                        <m:e>
                          <m:r>
                            <a:rPr kumimoji="1" lang="en-US" altLang="ja-JP" sz="1100" b="0" i="1">
                              <a:latin typeface="Cambria Math"/>
                            </a:rPr>
                            <m:t>−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𝑇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</m:e>
                      </m:d>
                    </m:e>
                  </m:func>
                  <m:r>
                    <a:rPr kumimoji="1" lang="en-US" altLang="ja-JP" sz="1100" b="0" i="1">
                      <a:latin typeface="Cambria Math"/>
                    </a:rPr>
                    <m:t>=0.</m:t>
                  </m:r>
                </m:oMath>
              </a14:m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39" name="テキスト ボックス 38">
              <a:extLst>
                <a:ext uri="{FF2B5EF4-FFF2-40B4-BE49-F238E27FC236}">
                  <a16:creationId xmlns:a16="http://schemas.microsoft.com/office/drawing/2014/main" id="{61731431-132E-4B91-BADC-460E8224DEB6}"/>
                </a:ext>
              </a:extLst>
            </xdr:cNvPr>
            <xdr:cNvSpPr txBox="1"/>
          </xdr:nvSpPr>
          <xdr:spPr>
            <a:xfrm>
              <a:off x="31673800" y="11049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100" b="0" i="0">
                  <a:latin typeface="Cambria Math"/>
                </a:rPr>
                <a:t>&lt;𝑇&lt;𝑡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))</a:t>
              </a:r>
              <a:r>
                <a:rPr kumimoji="1" lang="en-US" altLang="ja-JP" sz="1100" b="0" i="0">
                  <a:latin typeface="Cambria Math"/>
                </a:rPr>
                <a:t>=0.</a:t>
              </a:r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126</xdr:col>
      <xdr:colOff>0</xdr:colOff>
      <xdr:row>6</xdr:row>
      <xdr:rowOff>0</xdr:rowOff>
    </xdr:from>
    <xdr:ext cx="523875" cy="2738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テキスト ボックス 39">
              <a:extLst>
                <a:ext uri="{FF2B5EF4-FFF2-40B4-BE49-F238E27FC236}">
                  <a16:creationId xmlns:a16="http://schemas.microsoft.com/office/drawing/2014/main" id="{BEF56497-106A-4C14-951B-7306D1647458}"/>
                </a:ext>
              </a:extLst>
            </xdr:cNvPr>
            <xdr:cNvSpPr txBox="1"/>
          </xdr:nvSpPr>
          <xdr:spPr>
            <a:xfrm>
              <a:off x="34404300" y="11049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kumimoji="1" lang="en-US" altLang="ja-JP" sz="1100" b="0" i="1">
                            <a:latin typeface="Cambria Math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𝑡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/>
                          </a:rPr>
                          <m:t>𝛼</m:t>
                        </m:r>
                      </m:sub>
                    </m:sSub>
                    <m:d>
                      <m:dPr>
                        <m:ctrlPr>
                          <a:rPr kumimoji="1" lang="en-US" altLang="ja-JP" sz="1100" b="0" i="1">
                            <a:latin typeface="Cambria Math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𝜈</m:t>
                        </m:r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40" name="テキスト ボックス 39">
              <a:extLst>
                <a:ext uri="{FF2B5EF4-FFF2-40B4-BE49-F238E27FC236}">
                  <a16:creationId xmlns:a16="http://schemas.microsoft.com/office/drawing/2014/main" id="{BEF56497-106A-4C14-951B-7306D1647458}"/>
                </a:ext>
              </a:extLst>
            </xdr:cNvPr>
            <xdr:cNvSpPr txBox="1"/>
          </xdr:nvSpPr>
          <xdr:spPr>
            <a:xfrm>
              <a:off x="34404300" y="11049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112</xdr:col>
      <xdr:colOff>7471</xdr:colOff>
      <xdr:row>9</xdr:row>
      <xdr:rowOff>276411</xdr:rowOff>
    </xdr:from>
    <xdr:ext cx="5035549" cy="8431047"/>
    <xdr:pic>
      <xdr:nvPicPr>
        <xdr:cNvPr id="41" name="図 40">
          <a:extLst>
            <a:ext uri="{FF2B5EF4-FFF2-40B4-BE49-F238E27FC236}">
              <a16:creationId xmlns:a16="http://schemas.microsoft.com/office/drawing/2014/main" id="{2F50E8EF-42B3-48D5-802E-DCDD7CA74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89071" y="1838511"/>
          <a:ext cx="5035549" cy="8431047"/>
        </a:xfrm>
        <a:prstGeom prst="rect">
          <a:avLst/>
        </a:prstGeom>
      </xdr:spPr>
    </xdr:pic>
    <xdr:clientData/>
  </xdr:oneCellAnchor>
  <xdr:oneCellAnchor>
    <xdr:from>
      <xdr:col>59</xdr:col>
      <xdr:colOff>51922</xdr:colOff>
      <xdr:row>0</xdr:row>
      <xdr:rowOff>74706</xdr:rowOff>
    </xdr:from>
    <xdr:ext cx="4104821" cy="6491017"/>
    <xdr:pic>
      <xdr:nvPicPr>
        <xdr:cNvPr id="42" name="図 41">
          <a:extLst>
            <a:ext uri="{FF2B5EF4-FFF2-40B4-BE49-F238E27FC236}">
              <a16:creationId xmlns:a16="http://schemas.microsoft.com/office/drawing/2014/main" id="{9F9162E0-55D3-446A-8529-C5CA801F3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61872" y="74706"/>
          <a:ext cx="4104821" cy="649101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11907</xdr:colOff>
      <xdr:row>9</xdr:row>
      <xdr:rowOff>0</xdr:rowOff>
    </xdr:from>
    <xdr:ext cx="4493419" cy="5517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 txBox="1"/>
          </xdr:nvSpPr>
          <xdr:spPr>
            <a:xfrm>
              <a:off x="1643063" y="4024313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2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𝛼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𝑋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𝛽</m:t>
                            </m:r>
                          </m:e>
                        </m:d>
                      </m:e>
                    </m:func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nary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f>
                          <m:f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fPr>
                          <m:num>
                            <m:r>
                              <a:rPr kumimoji="1" lang="en-US" altLang="ja-JP" sz="1200" b="0" i="1">
                                <a:latin typeface="Cambria Math"/>
                              </a:rPr>
                              <m:t>1</m:t>
                            </m:r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𝜋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rad>
                          </m:den>
                        </m:f>
                      </m:e>
                    </m:nary>
                    <m:func>
                      <m:funcPr>
                        <m:ctrlPr>
                          <a:rPr kumimoji="1" lang="en-US" altLang="ja-JP" sz="12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exp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−</m:t>
                            </m:r>
                            <m:f>
                              <m:fPr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𝑥</m:t>
                                        </m:r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−</m:t>
                                        </m:r>
                                        <m:sSub>
                                          <m:sSubPr>
                                            <m:ctrlP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𝜇</m:t>
                                            </m:r>
                                          </m:e>
                                          <m:sub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𝑋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func>
                  </m:oMath>
                </m:oMathPara>
              </a14:m>
              <a:endParaRPr kumimoji="1" lang="ja-JP" altLang="en-US" sz="1200"/>
            </a:p>
          </xdr:txBody>
        </xdr:sp>
      </mc:Choice>
      <mc:Fallback xmlns="">
        <xdr:sp macro="" textlink="">
          <xdr:nvSpPr>
            <xdr:cNvPr id="12" name="テキスト ボックス 11"/>
            <xdr:cNvSpPr txBox="1"/>
          </xdr:nvSpPr>
          <xdr:spPr>
            <a:xfrm>
              <a:off x="1643063" y="4024313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Pr⁡(𝛼&lt;𝑋&lt;𝛽)=∫24_𝛼^𝛽▒𝑓(𝑥)𝑑𝑥=∫24_𝛼^𝛽▒1/√(2𝜋𝜎_𝑋^2 )  exp⁡{−(𝑥−𝜇_𝑋 )^2/(2𝜎_𝑋^2 )}𝑑𝑥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32</xdr:col>
      <xdr:colOff>190502</xdr:colOff>
      <xdr:row>5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テキスト ボックス 40">
              <a:extLs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1" name="テキスト ボックス 40"/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35</xdr:col>
      <xdr:colOff>47624</xdr:colOff>
      <xdr:row>5</xdr:row>
      <xdr:rowOff>0</xdr:rowOff>
    </xdr:from>
    <xdr:ext cx="381001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テキスト ボックス 41">
              <a:extLs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SpPr txBox="1"/>
          </xdr:nvSpPr>
          <xdr:spPr>
            <a:xfrm>
              <a:off x="9310687" y="1547813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2" name="テキスト ボックス 41"/>
            <xdr:cNvSpPr txBox="1"/>
          </xdr:nvSpPr>
          <xdr:spPr>
            <a:xfrm>
              <a:off x="9310687" y="1547813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42</xdr:col>
      <xdr:colOff>130972</xdr:colOff>
      <xdr:row>5</xdr:row>
      <xdr:rowOff>0</xdr:rowOff>
    </xdr:from>
    <xdr:ext cx="914400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テキスト ボックス 42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SpPr txBox="1"/>
          </xdr:nvSpPr>
          <xdr:spPr>
            <a:xfrm>
              <a:off x="11227597" y="1547813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𝑁</m:t>
                    </m:r>
                    <m:d>
                      <m:dPr>
                        <m:ctrlPr>
                          <a:rPr kumimoji="1" lang="en-US" altLang="ja-JP" sz="1400" b="0" i="1">
                            <a:latin typeface="Cambria Math"/>
                          </a:rPr>
                        </m:ctrlPr>
                      </m:dPr>
                      <m:e>
                        <m:r>
                          <a:rPr kumimoji="1" lang="en-US" altLang="ja-JP" sz="1400" b="0" i="1">
                            <a:latin typeface="Cambria Math"/>
                          </a:rPr>
                          <m:t>0, 1</m:t>
                        </m:r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3" name="テキスト ボックス 42"/>
            <xdr:cNvSpPr txBox="1"/>
          </xdr:nvSpPr>
          <xdr:spPr>
            <a:xfrm>
              <a:off x="11227597" y="1547813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𝑁(0, 1)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32</xdr:col>
      <xdr:colOff>130972</xdr:colOff>
      <xdr:row>6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テキスト ボックス 43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SpPr txBox="1"/>
          </xdr:nvSpPr>
          <xdr:spPr>
            <a:xfrm>
              <a:off x="8608222" y="18573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𝑧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4" name="テキスト ボックス 43"/>
            <xdr:cNvSpPr txBox="1"/>
          </xdr:nvSpPr>
          <xdr:spPr>
            <a:xfrm>
              <a:off x="8608222" y="18573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Pr⁡(𝑍&gt;𝑧)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33</xdr:col>
      <xdr:colOff>0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テキスト ボックス 45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SpPr txBox="1"/>
          </xdr:nvSpPr>
          <xdr:spPr>
            <a:xfrm>
              <a:off x="8739188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6" name="テキスト ボックス 45"/>
            <xdr:cNvSpPr txBox="1"/>
          </xdr:nvSpPr>
          <xdr:spPr>
            <a:xfrm>
              <a:off x="8739188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𝑧=2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40</xdr:col>
      <xdr:colOff>71436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テキスト ボックス 48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SpPr txBox="1"/>
          </xdr:nvSpPr>
          <xdr:spPr>
            <a:xfrm>
              <a:off x="10644186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49" name="テキスト ボックス 48"/>
            <xdr:cNvSpPr txBox="1"/>
          </xdr:nvSpPr>
          <xdr:spPr>
            <a:xfrm>
              <a:off x="10644186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Pr⁡(𝑍&gt;2)</a:t>
              </a:r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twoCellAnchor>
    <xdr:from>
      <xdr:col>36</xdr:col>
      <xdr:colOff>0</xdr:colOff>
      <xdr:row>9</xdr:row>
      <xdr:rowOff>0</xdr:rowOff>
    </xdr:from>
    <xdr:to>
      <xdr:col>49</xdr:col>
      <xdr:colOff>100012</xdr:colOff>
      <xdr:row>14</xdr:row>
      <xdr:rowOff>72188</xdr:rowOff>
    </xdr:to>
    <xdr:graphicFrame macro="">
      <xdr:nvGraphicFramePr>
        <xdr:cNvPr id="50" name="グラフ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178594</xdr:colOff>
      <xdr:row>14</xdr:row>
      <xdr:rowOff>47626</xdr:rowOff>
    </xdr:from>
    <xdr:to>
      <xdr:col>45</xdr:col>
      <xdr:colOff>186013</xdr:colOff>
      <xdr:row>15</xdr:row>
      <xdr:rowOff>250031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 flipH="1" flipV="1">
          <a:off x="12061032" y="4381501"/>
          <a:ext cx="7419" cy="51196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44</xdr:col>
      <xdr:colOff>166690</xdr:colOff>
      <xdr:row>15</xdr:row>
      <xdr:rowOff>202408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テキスト ボックス 54">
              <a:extLst>
                <a:ext uri="{FF2B5EF4-FFF2-40B4-BE49-F238E27FC236}">
                  <a16:creationId xmlns:a16="http://schemas.microsoft.com/office/drawing/2014/main" id="{00000000-0008-0000-0100-000037000000}"/>
                </a:ext>
              </a:extLst>
            </xdr:cNvPr>
            <xdr:cNvSpPr txBox="1"/>
          </xdr:nvSpPr>
          <xdr:spPr>
            <a:xfrm>
              <a:off x="11787190" y="4845846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Choice>
      <mc:Fallback xmlns="">
        <xdr:sp macro="" textlink="">
          <xdr:nvSpPr>
            <xdr:cNvPr id="55" name="テキスト ボックス 54"/>
            <xdr:cNvSpPr txBox="1"/>
          </xdr:nvSpPr>
          <xdr:spPr>
            <a:xfrm>
              <a:off x="11787190" y="4845846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chemeClr val="accent1"/>
                  </a:solidFill>
                  <a:latin typeface="Cambria Math"/>
                </a:rPr>
                <a:t>𝑧=2</a:t>
              </a:r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Fallback>
    </mc:AlternateContent>
    <xdr:clientData/>
  </xdr:oneCellAnchor>
  <xdr:twoCellAnchor>
    <xdr:from>
      <xdr:col>43</xdr:col>
      <xdr:colOff>178593</xdr:colOff>
      <xdr:row>8</xdr:row>
      <xdr:rowOff>285750</xdr:rowOff>
    </xdr:from>
    <xdr:to>
      <xdr:col>46</xdr:col>
      <xdr:colOff>11908</xdr:colOff>
      <xdr:row>13</xdr:row>
      <xdr:rowOff>11906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>
          <a:off x="11537156" y="2762250"/>
          <a:ext cx="619127" cy="127396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0</xdr:colOff>
      <xdr:row>17</xdr:row>
      <xdr:rowOff>0</xdr:rowOff>
    </xdr:from>
    <xdr:to>
      <xdr:col>50</xdr:col>
      <xdr:colOff>38100</xdr:colOff>
      <xdr:row>21</xdr:row>
      <xdr:rowOff>238125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7563" y="5262563"/>
          <a:ext cx="6062662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50</xdr:col>
      <xdr:colOff>38100</xdr:colOff>
      <xdr:row>25</xdr:row>
      <xdr:rowOff>304799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7563" y="6810375"/>
          <a:ext cx="6062662" cy="1233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35718</xdr:colOff>
      <xdr:row>21</xdr:row>
      <xdr:rowOff>250031</xdr:rowOff>
    </xdr:from>
    <xdr:to>
      <xdr:col>50</xdr:col>
      <xdr:colOff>47625</xdr:colOff>
      <xdr:row>21</xdr:row>
      <xdr:rowOff>250031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CxnSpPr/>
      </xdr:nvCxnSpPr>
      <xdr:spPr>
        <a:xfrm>
          <a:off x="7203281" y="6750844"/>
          <a:ext cx="6036469" cy="0"/>
        </a:xfrm>
        <a:prstGeom prst="line">
          <a:avLst/>
        </a:prstGeom>
        <a:ln w="19050">
          <a:solidFill>
            <a:sysClr val="windowText" lastClr="000000"/>
          </a:solidFill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35717</xdr:colOff>
      <xdr:row>23</xdr:row>
      <xdr:rowOff>180977</xdr:rowOff>
    </xdr:from>
    <xdr:to>
      <xdr:col>50</xdr:col>
      <xdr:colOff>83343</xdr:colOff>
      <xdr:row>24</xdr:row>
      <xdr:rowOff>169072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7203280" y="7300915"/>
          <a:ext cx="6072188" cy="2976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21430</xdr:colOff>
      <xdr:row>16</xdr:row>
      <xdr:rowOff>285752</xdr:rowOff>
    </xdr:from>
    <xdr:to>
      <xdr:col>31</xdr:col>
      <xdr:colOff>95248</xdr:colOff>
      <xdr:row>26</xdr:row>
      <xdr:rowOff>73822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7712868" y="5238752"/>
          <a:ext cx="597693" cy="28836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30</xdr:col>
      <xdr:colOff>190502</xdr:colOff>
      <xdr:row>29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テキスト ボックス 77">
              <a:extLst>
                <a:ext uri="{FF2B5EF4-FFF2-40B4-BE49-F238E27FC236}">
                  <a16:creationId xmlns:a16="http://schemas.microsoft.com/office/drawing/2014/main" id="{00000000-0008-0000-0100-00004E000000}"/>
                </a:ext>
              </a:extLst>
            </xdr:cNvPr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78" name="テキスト ボックス 77"/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30</xdr:col>
      <xdr:colOff>71442</xdr:colOff>
      <xdr:row>30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テキスト ボックス 78">
              <a:extLst>
                <a:ext uri="{FF2B5EF4-FFF2-40B4-BE49-F238E27FC236}">
                  <a16:creationId xmlns:a16="http://schemas.microsoft.com/office/drawing/2014/main" id="{00000000-0008-0000-0100-00004F000000}"/>
                </a:ext>
              </a:extLst>
            </xdr:cNvPr>
            <xdr:cNvSpPr txBox="1"/>
          </xdr:nvSpPr>
          <xdr:spPr>
            <a:xfrm>
              <a:off x="8024817" y="92868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79" name="テキスト ボックス 78"/>
            <xdr:cNvSpPr txBox="1"/>
          </xdr:nvSpPr>
          <xdr:spPr>
            <a:xfrm>
              <a:off x="8024817" y="92868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Pr⁡(𝑍&gt;2)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0</xdr:row>
      <xdr:rowOff>0</xdr:rowOff>
    </xdr:from>
    <xdr:ext cx="1421607" cy="311496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28</xdr:row>
      <xdr:rowOff>0</xdr:rowOff>
    </xdr:from>
    <xdr:ext cx="2488406" cy="311496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21574125" y="8667750"/>
          <a:ext cx="2488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30</xdr:row>
      <xdr:rowOff>166683</xdr:rowOff>
    </xdr:from>
    <xdr:ext cx="2226470" cy="311496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21574124" y="9453558"/>
          <a:ext cx="22264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84</xdr:col>
      <xdr:colOff>95254</xdr:colOff>
      <xdr:row>6</xdr:row>
      <xdr:rowOff>0</xdr:rowOff>
    </xdr:from>
    <xdr:ext cx="476243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テキスト ボックス 124">
              <a:extLst>
                <a:ext uri="{FF2B5EF4-FFF2-40B4-BE49-F238E27FC236}">
                  <a16:creationId xmlns:a16="http://schemas.microsoft.com/office/drawing/2014/main" id="{00000000-0008-0000-0100-00007D000000}"/>
                </a:ext>
              </a:extLst>
            </xdr:cNvPr>
            <xdr:cNvSpPr txBox="1"/>
          </xdr:nvSpPr>
          <xdr:spPr>
            <a:xfrm>
              <a:off x="35814004" y="1857375"/>
              <a:ext cx="476243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kumimoji="1" lang="en-US" altLang="ja-JP" sz="1400" b="0" i="1">
                            <a:latin typeface="Cambria Math"/>
                          </a:rPr>
                        </m:ctrlPr>
                      </m:accPr>
                      <m:e>
                        <m:r>
                          <a:rPr kumimoji="1" lang="en-US" altLang="ja-JP" sz="1400" b="0" i="1">
                            <a:latin typeface="Cambria Math"/>
                          </a:rPr>
                          <m:t>𝑋</m:t>
                        </m:r>
                      </m:e>
                    </m:ac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25" name="テキスト ボックス 124"/>
            <xdr:cNvSpPr txBox="1"/>
          </xdr:nvSpPr>
          <xdr:spPr>
            <a:xfrm>
              <a:off x="35814004" y="1857375"/>
              <a:ext cx="476243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400" b="0" i="0">
                  <a:latin typeface="Cambria Math"/>
                </a:rPr>
                <a:t>𝑋 ̅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90</xdr:col>
      <xdr:colOff>0</xdr:colOff>
      <xdr:row>5</xdr:row>
      <xdr:rowOff>178596</xdr:rowOff>
    </xdr:from>
    <xdr:ext cx="2345531" cy="514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テキスト ボックス 125">
              <a:extLst>
                <a:ext uri="{FF2B5EF4-FFF2-40B4-BE49-F238E27FC236}">
                  <a16:creationId xmlns:a16="http://schemas.microsoft.com/office/drawing/2014/main" id="{00000000-0008-0000-0100-00007E000000}"/>
                </a:ext>
              </a:extLst>
            </xdr:cNvPr>
            <xdr:cNvSpPr txBox="1"/>
          </xdr:nvSpPr>
          <xdr:spPr>
            <a:xfrm>
              <a:off x="37290375" y="1726409"/>
              <a:ext cx="2345531" cy="514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kumimoji="1" lang="ja-JP" altLang="en-US" sz="1400" b="0" i="1">
                        <a:latin typeface="Cambria Math"/>
                      </a:rPr>
                      <m:t>平均</m:t>
                    </m:r>
                    <m:r>
                      <a:rPr kumimoji="1" lang="en-US" altLang="ja-JP" sz="1400" b="0" i="1">
                        <a:latin typeface="Cambria Math"/>
                      </a:rPr>
                      <m:t>=2.00   </m:t>
                    </m:r>
                    <m:r>
                      <a:rPr kumimoji="1" lang="ja-JP" altLang="en-US" sz="1400" b="0" i="1">
                        <a:latin typeface="Cambria Math"/>
                      </a:rPr>
                      <m:t>分散</m:t>
                    </m:r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/>
                          </a:rPr>
                        </m:ctrlPr>
                      </m:fPr>
                      <m:num>
                        <m:r>
                          <a:rPr kumimoji="1" lang="en-US" altLang="ja-JP" sz="1400" b="0" i="1">
                            <a:latin typeface="Cambria Math"/>
                          </a:rPr>
                          <m:t>1.976</m:t>
                        </m:r>
                      </m:num>
                      <m:den>
                        <m:r>
                          <a:rPr kumimoji="1" lang="en-US" altLang="ja-JP" sz="1400" b="0" i="1">
                            <a:latin typeface="Cambria Math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26" name="テキスト ボックス 125"/>
            <xdr:cNvSpPr txBox="1"/>
          </xdr:nvSpPr>
          <xdr:spPr>
            <a:xfrm>
              <a:off x="37290375" y="1726409"/>
              <a:ext cx="2345531" cy="514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ja-JP" altLang="en-US" sz="1400" b="0" i="0">
                  <a:latin typeface="Cambria Math"/>
                </a:rPr>
                <a:t>平均</a:t>
              </a:r>
              <a:r>
                <a:rPr kumimoji="1" lang="en-US" altLang="ja-JP" sz="1400" b="0" i="0">
                  <a:latin typeface="Cambria Math"/>
                </a:rPr>
                <a:t>=2.00   </a:t>
              </a:r>
              <a:r>
                <a:rPr kumimoji="1" lang="ja-JP" altLang="en-US" sz="1400" b="0" i="0">
                  <a:latin typeface="Cambria Math"/>
                </a:rPr>
                <a:t>分散</a:t>
              </a:r>
              <a:r>
                <a:rPr kumimoji="1" lang="en-US" altLang="ja-JP" sz="1400" b="0" i="0">
                  <a:latin typeface="Cambria Math"/>
                </a:rPr>
                <a:t>=1.976/𝑛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88</xdr:col>
      <xdr:colOff>226221</xdr:colOff>
      <xdr:row>9</xdr:row>
      <xdr:rowOff>0</xdr:rowOff>
    </xdr:from>
    <xdr:ext cx="1631156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テキスト ボックス 127">
              <a:extLst>
                <a:ext uri="{FF2B5EF4-FFF2-40B4-BE49-F238E27FC236}">
                  <a16:creationId xmlns:a16="http://schemas.microsoft.com/office/drawing/2014/main" id="{00000000-0008-0000-0100-000080000000}"/>
                </a:ext>
              </a:extLst>
            </xdr:cNvPr>
            <xdr:cNvSpPr txBox="1"/>
          </xdr:nvSpPr>
          <xdr:spPr>
            <a:xfrm>
              <a:off x="36992721" y="2786063"/>
              <a:ext cx="1631156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̅"/>
                                    <m:ctrlPr>
                                      <a:rPr kumimoji="1" lang="en-US" altLang="ja-JP" sz="1400" b="0" i="1">
                                        <a:latin typeface="Cambria Math"/>
                                      </a:rPr>
                                    </m:ctrlPr>
                                  </m:acc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e>
                                </m:acc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kumimoji="1" lang="en-US" altLang="ja-JP" sz="1400" b="0" i="1">
                                        <a:latin typeface="Cambria Math"/>
                                      </a:rPr>
                                    </m:ctrlPr>
                                  </m:sSub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</m:sSub>
                              </m:e>
                            </m:d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&lt;0.1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28" name="テキスト ボックス 127"/>
            <xdr:cNvSpPr txBox="1"/>
          </xdr:nvSpPr>
          <xdr:spPr>
            <a:xfrm>
              <a:off x="36992721" y="2786063"/>
              <a:ext cx="1631156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400" b="0" i="0">
                  <a:latin typeface="Cambria Math"/>
                </a:rPr>
                <a:t>Pr⁡(|𝑋 ̅−𝜇_𝑋 |&lt;0.1)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83</xdr:col>
      <xdr:colOff>0</xdr:colOff>
      <xdr:row>12</xdr:row>
      <xdr:rowOff>0</xdr:rowOff>
    </xdr:from>
    <xdr:ext cx="5143500" cy="9903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テキスト ボックス 128">
              <a:extLst>
                <a:ext uri="{FF2B5EF4-FFF2-40B4-BE49-F238E27FC236}">
                  <a16:creationId xmlns:a16="http://schemas.microsoft.com/office/drawing/2014/main" id="{00000000-0008-0000-0100-000081000000}"/>
                </a:ext>
              </a:extLst>
            </xdr:cNvPr>
            <xdr:cNvSpPr txBox="1"/>
          </xdr:nvSpPr>
          <xdr:spPr>
            <a:xfrm>
              <a:off x="35456813" y="3714750"/>
              <a:ext cx="5143500" cy="9903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acc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r>
                          <a:rPr kumimoji="1" lang="en-US" altLang="ja-JP" sz="1400" b="0" i="1">
                            <a:latin typeface="Cambria Math"/>
                          </a:rPr>
                          <m:t>𝐸</m:t>
                        </m:r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kumimoji="1" lang="en-US" altLang="ja-JP" sz="1400" b="0" i="1">
                                    <a:latin typeface="Cambria Math"/>
                                  </a:rPr>
                                </m:ctrlPr>
                              </m:accPr>
                              <m:e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𝑋</m:t>
                                </m:r>
                              </m:e>
                            </m:acc>
                          </m:e>
                        </m:d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𝑉𝑎𝑟</m:t>
                            </m:r>
                            <m:d>
                              <m:dPr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̅"/>
                                    <m:ctrlPr>
                                      <a:rPr kumimoji="1" lang="en-US" altLang="ja-JP" sz="1400" b="0" i="1">
                                        <a:latin typeface="Cambria Math"/>
                                      </a:rPr>
                                    </m:ctrlPr>
                                  </m:acc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e>
                                </m:acc>
                              </m:e>
                            </m:d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acc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sSub>
                          <m:sSub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sSub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𝜇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Sup>
                                  <m:sSubSupPr>
                                    <m:ctrlPr>
                                      <a:rPr kumimoji="1" lang="en-US" altLang="ja-JP" sz="14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𝑛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ja-JP" altLang="en-US" sz="1400" b="0" i="1">
                            <a:latin typeface="Cambria Math"/>
                          </a:rPr>
                        </m:ctrlPr>
                      </m:fPr>
                      <m:num>
                        <m:r>
                          <a:rPr kumimoji="1" lang="ja-JP" altLang="en-US" sz="1400" b="0" i="1">
                            <a:latin typeface="Cambria Math"/>
                          </a:rPr>
                          <m:t>標本平均</m:t>
                        </m:r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r>
                          <a:rPr kumimoji="1" lang="ja-JP" altLang="en-US" sz="1400" b="0" i="1">
                            <a:latin typeface="Cambria Math"/>
                          </a:rPr>
                          <m:t>母平均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ja-JP" altLang="en-US" sz="1400" b="0" i="1">
                                    <a:latin typeface="Cambria Math"/>
                                  </a:rPr>
                                </m:ctrlPr>
                              </m:fPr>
                              <m:num>
                                <m:r>
                                  <a:rPr kumimoji="1" lang="ja-JP" altLang="en-US" sz="1400" b="0" i="1">
                                    <a:latin typeface="Cambria Math"/>
                                  </a:rPr>
                                  <m:t>母分散</m:t>
                                </m:r>
                              </m:num>
                              <m:den>
                                <m:r>
                                  <a:rPr kumimoji="1" lang="ja-JP" altLang="en-US" sz="1400" b="0" i="1">
                                    <a:latin typeface="Cambria Math"/>
                                  </a:rPr>
                                  <m:t>標本数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2.10−2.00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1.976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200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≈1.01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29" name="テキスト ボックス 128"/>
            <xdr:cNvSpPr txBox="1"/>
          </xdr:nvSpPr>
          <xdr:spPr>
            <a:xfrm>
              <a:off x="35456813" y="3714750"/>
              <a:ext cx="5143500" cy="9903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𝑍=(𝑋 ̅−𝐸(𝑋 ̅ ))/√(𝑉𝑎𝑟(𝑋 ̅ ) )=(𝑋 ̅−𝜇_𝑋)/√((𝜎_𝑋^2)/𝑛)=(</a:t>
              </a:r>
              <a:r>
                <a:rPr kumimoji="1" lang="ja-JP" altLang="en-US" sz="1400" b="0" i="0">
                  <a:latin typeface="Cambria Math"/>
                </a:rPr>
                <a:t>標本平均</a:t>
              </a:r>
              <a:r>
                <a:rPr kumimoji="1" lang="en-US" altLang="ja-JP" sz="1400" b="0" i="0">
                  <a:latin typeface="Cambria Math"/>
                </a:rPr>
                <a:t>−</a:t>
              </a:r>
              <a:r>
                <a:rPr kumimoji="1" lang="ja-JP" altLang="en-US" sz="1400" b="0" i="0">
                  <a:latin typeface="Cambria Math"/>
                </a:rPr>
                <a:t>母平均</a:t>
              </a:r>
              <a:r>
                <a:rPr kumimoji="1" lang="en-US" altLang="ja-JP" sz="1400" b="0" i="0">
                  <a:latin typeface="Cambria Math"/>
                </a:rPr>
                <a:t>)/√(</a:t>
              </a:r>
              <a:r>
                <a:rPr kumimoji="1" lang="ja-JP" altLang="en-US" sz="1400" b="0" i="0">
                  <a:latin typeface="Cambria Math"/>
                </a:rPr>
                <a:t>母分散</a:t>
              </a:r>
              <a:r>
                <a:rPr kumimoji="1" lang="en-US" altLang="ja-JP" sz="1400" b="0" i="0">
                  <a:latin typeface="Cambria Math"/>
                </a:rPr>
                <a:t>/</a:t>
              </a:r>
              <a:r>
                <a:rPr kumimoji="1" lang="ja-JP" altLang="en-US" sz="1400" b="0" i="0">
                  <a:latin typeface="Cambria Math"/>
                </a:rPr>
                <a:t>標本数</a:t>
              </a:r>
              <a:r>
                <a:rPr kumimoji="1" lang="en-US" altLang="ja-JP" sz="1400" b="0" i="0">
                  <a:latin typeface="Cambria Math"/>
                </a:rPr>
                <a:t>)=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2.10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2.00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)/√(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1.976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200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≈1.01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83</xdr:col>
      <xdr:colOff>-1</xdr:colOff>
      <xdr:row>17</xdr:row>
      <xdr:rowOff>0</xdr:rowOff>
    </xdr:from>
    <xdr:ext cx="188118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テキスト ボックス 129">
              <a:extLst>
                <a:ext uri="{FF2B5EF4-FFF2-40B4-BE49-F238E27FC236}">
                  <a16:creationId xmlns:a16="http://schemas.microsoft.com/office/drawing/2014/main" id="{00000000-0008-0000-0100-000082000000}"/>
                </a:ext>
              </a:extLst>
            </xdr:cNvPr>
            <xdr:cNvSpPr txBox="1"/>
          </xdr:nvSpPr>
          <xdr:spPr>
            <a:xfrm>
              <a:off x="35456812" y="5262563"/>
              <a:ext cx="188118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−1.01&lt;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&lt;1.01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30" name="テキスト ボックス 129"/>
            <xdr:cNvSpPr txBox="1"/>
          </xdr:nvSpPr>
          <xdr:spPr>
            <a:xfrm>
              <a:off x="35456812" y="5262563"/>
              <a:ext cx="188118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400" b="0" i="0">
                  <a:latin typeface="Cambria Math"/>
                </a:rPr>
                <a:t>Pr⁡(−1.01&lt;𝑍&lt;1.01)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116</xdr:col>
      <xdr:colOff>0</xdr:colOff>
      <xdr:row>3</xdr:row>
      <xdr:rowOff>0</xdr:rowOff>
    </xdr:from>
    <xdr:ext cx="2202656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9E271BF7-5FBC-4DC6-9BEC-4FA0351BF59F}"/>
                </a:ext>
              </a:extLst>
            </xdr:cNvPr>
            <xdr:cNvSpPr txBox="1"/>
          </xdr:nvSpPr>
          <xdr:spPr>
            <a:xfrm>
              <a:off x="37769800" y="53975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kumimoji="1" lang="en-US" altLang="ja-JP" sz="1100" b="0" i="0">
                          <a:latin typeface="Cambria Math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kumimoji="1" lang="en-US" altLang="ja-JP" sz="1100" b="0" i="0">
                          <a:latin typeface="Cambria Math"/>
                        </a:rPr>
                        <m:t>Pr</m:t>
                      </m:r>
                    </m:fName>
                    <m:e>
                      <m:d>
                        <m:dPr>
                          <m:ctrlPr>
                            <a:rPr kumimoji="1" lang="en-US" altLang="ja-JP" sz="1100" b="0" i="1">
                              <a:latin typeface="Cambria Math"/>
                            </a:rPr>
                          </m:ctrlPr>
                        </m:dPr>
                        <m:e>
                          <m:r>
                            <a:rPr kumimoji="1" lang="en-US" altLang="ja-JP" sz="1100" b="0" i="1">
                              <a:latin typeface="Cambria Math"/>
                            </a:rPr>
                            <m:t>−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𝑇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</m:e>
                      </m:d>
                    </m:e>
                  </m:func>
                  <m:r>
                    <a:rPr kumimoji="1" lang="en-US" altLang="ja-JP" sz="1100" b="0" i="1">
                      <a:latin typeface="Cambria Math"/>
                    </a:rPr>
                    <m:t>=0.</m:t>
                  </m:r>
                </m:oMath>
              </a14:m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9E271BF7-5FBC-4DC6-9BEC-4FA0351BF59F}"/>
                </a:ext>
              </a:extLst>
            </xdr:cNvPr>
            <xdr:cNvSpPr txBox="1"/>
          </xdr:nvSpPr>
          <xdr:spPr>
            <a:xfrm>
              <a:off x="37769800" y="53975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100" b="0" i="0">
                  <a:latin typeface="Cambria Math"/>
                </a:rPr>
                <a:t>&lt;𝑇&lt;𝑡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))</a:t>
              </a:r>
              <a:r>
                <a:rPr kumimoji="1" lang="en-US" altLang="ja-JP" sz="1100" b="0" i="0">
                  <a:latin typeface="Cambria Math"/>
                </a:rPr>
                <a:t>=0.</a:t>
              </a:r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126</xdr:col>
      <xdr:colOff>0</xdr:colOff>
      <xdr:row>3</xdr:row>
      <xdr:rowOff>0</xdr:rowOff>
    </xdr:from>
    <xdr:ext cx="523875" cy="2738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テキスト ボックス 10">
              <a:extLst>
                <a:ext uri="{FF2B5EF4-FFF2-40B4-BE49-F238E27FC236}">
                  <a16:creationId xmlns:a16="http://schemas.microsoft.com/office/drawing/2014/main" id="{89CC7F31-433C-433C-B23D-E1D5A2B9D3C5}"/>
                </a:ext>
              </a:extLst>
            </xdr:cNvPr>
            <xdr:cNvSpPr txBox="1"/>
          </xdr:nvSpPr>
          <xdr:spPr>
            <a:xfrm>
              <a:off x="40500300" y="53975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kumimoji="1" lang="en-US" altLang="ja-JP" sz="1100" b="0" i="1">
                            <a:latin typeface="Cambria Math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𝑡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/>
                          </a:rPr>
                          <m:t>𝛼</m:t>
                        </m:r>
                      </m:sub>
                    </m:sSub>
                    <m:d>
                      <m:dPr>
                        <m:ctrlPr>
                          <a:rPr kumimoji="1" lang="en-US" altLang="ja-JP" sz="1100" b="0" i="1">
                            <a:latin typeface="Cambria Math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𝜈</m:t>
                        </m:r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1" name="テキスト ボックス 10">
              <a:extLst>
                <a:ext uri="{FF2B5EF4-FFF2-40B4-BE49-F238E27FC236}">
                  <a16:creationId xmlns:a16="http://schemas.microsoft.com/office/drawing/2014/main" id="{89CC7F31-433C-433C-B23D-E1D5A2B9D3C5}"/>
                </a:ext>
              </a:extLst>
            </xdr:cNvPr>
            <xdr:cNvSpPr txBox="1"/>
          </xdr:nvSpPr>
          <xdr:spPr>
            <a:xfrm>
              <a:off x="40500300" y="53975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116</xdr:col>
      <xdr:colOff>0</xdr:colOff>
      <xdr:row>6</xdr:row>
      <xdr:rowOff>0</xdr:rowOff>
    </xdr:from>
    <xdr:ext cx="2202656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C855762F-CD7E-4AEF-8F9A-844351C4B7DE}"/>
                </a:ext>
              </a:extLst>
            </xdr:cNvPr>
            <xdr:cNvSpPr txBox="1"/>
          </xdr:nvSpPr>
          <xdr:spPr>
            <a:xfrm>
              <a:off x="37769800" y="63500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kumimoji="1" lang="en-US" altLang="ja-JP" sz="1100" b="0" i="0">
                          <a:latin typeface="Cambria Math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kumimoji="1" lang="en-US" altLang="ja-JP" sz="1100" b="0" i="0">
                          <a:latin typeface="Cambria Math"/>
                        </a:rPr>
                        <m:t>Pr</m:t>
                      </m:r>
                    </m:fName>
                    <m:e>
                      <m:d>
                        <m:dPr>
                          <m:ctrlPr>
                            <a:rPr kumimoji="1" lang="en-US" altLang="ja-JP" sz="1100" b="0" i="1">
                              <a:latin typeface="Cambria Math"/>
                            </a:rPr>
                          </m:ctrlPr>
                        </m:dPr>
                        <m:e>
                          <m:r>
                            <a:rPr kumimoji="1" lang="en-US" altLang="ja-JP" sz="1100" b="0" i="1">
                              <a:latin typeface="Cambria Math"/>
                            </a:rPr>
                            <m:t>−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𝑇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</m:e>
                      </m:d>
                    </m:e>
                  </m:func>
                  <m:r>
                    <a:rPr kumimoji="1" lang="en-US" altLang="ja-JP" sz="1100" b="0" i="1">
                      <a:latin typeface="Cambria Math"/>
                    </a:rPr>
                    <m:t>=0.</m:t>
                  </m:r>
                </m:oMath>
              </a14:m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C855762F-CD7E-4AEF-8F9A-844351C4B7DE}"/>
                </a:ext>
              </a:extLst>
            </xdr:cNvPr>
            <xdr:cNvSpPr txBox="1"/>
          </xdr:nvSpPr>
          <xdr:spPr>
            <a:xfrm>
              <a:off x="37769800" y="63500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100" b="0" i="0">
                  <a:latin typeface="Cambria Math"/>
                </a:rPr>
                <a:t>&lt;𝑇&lt;𝑡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))</a:t>
              </a:r>
              <a:r>
                <a:rPr kumimoji="1" lang="en-US" altLang="ja-JP" sz="1100" b="0" i="0">
                  <a:latin typeface="Cambria Math"/>
                </a:rPr>
                <a:t>=0.</a:t>
              </a:r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126</xdr:col>
      <xdr:colOff>0</xdr:colOff>
      <xdr:row>6</xdr:row>
      <xdr:rowOff>0</xdr:rowOff>
    </xdr:from>
    <xdr:ext cx="523875" cy="2738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5A10B879-A808-47EA-8C3B-3659A30171EE}"/>
                </a:ext>
              </a:extLst>
            </xdr:cNvPr>
            <xdr:cNvSpPr txBox="1"/>
          </xdr:nvSpPr>
          <xdr:spPr>
            <a:xfrm>
              <a:off x="40500300" y="63500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kumimoji="1" lang="en-US" altLang="ja-JP" sz="1100" b="0" i="1">
                            <a:latin typeface="Cambria Math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𝑡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/>
                          </a:rPr>
                          <m:t>𝛼</m:t>
                        </m:r>
                      </m:sub>
                    </m:sSub>
                    <m:d>
                      <m:dPr>
                        <m:ctrlPr>
                          <a:rPr kumimoji="1" lang="en-US" altLang="ja-JP" sz="1100" b="0" i="1">
                            <a:latin typeface="Cambria Math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𝜈</m:t>
                        </m:r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5A10B879-A808-47EA-8C3B-3659A30171EE}"/>
                </a:ext>
              </a:extLst>
            </xdr:cNvPr>
            <xdr:cNvSpPr txBox="1"/>
          </xdr:nvSpPr>
          <xdr:spPr>
            <a:xfrm>
              <a:off x="40500300" y="63500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twoCellAnchor editAs="oneCell">
    <xdr:from>
      <xdr:col>112</xdr:col>
      <xdr:colOff>7471</xdr:colOff>
      <xdr:row>9</xdr:row>
      <xdr:rowOff>276411</xdr:rowOff>
    </xdr:from>
    <xdr:to>
      <xdr:col>130</xdr:col>
      <xdr:colOff>128120</xdr:colOff>
      <xdr:row>36</xdr:row>
      <xdr:rowOff>134958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882FDFB-8345-463A-8576-9B6F970C9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47765" y="3167529"/>
          <a:ext cx="5096061" cy="8531900"/>
        </a:xfrm>
        <a:prstGeom prst="rect">
          <a:avLst/>
        </a:prstGeom>
      </xdr:spPr>
    </xdr:pic>
    <xdr:clientData/>
  </xdr:twoCellAnchor>
  <xdr:twoCellAnchor editAs="oneCell">
    <xdr:from>
      <xdr:col>59</xdr:col>
      <xdr:colOff>51922</xdr:colOff>
      <xdr:row>0</xdr:row>
      <xdr:rowOff>74706</xdr:rowOff>
    </xdr:from>
    <xdr:to>
      <xdr:col>74</xdr:col>
      <xdr:colOff>60993</xdr:colOff>
      <xdr:row>20</xdr:row>
      <xdr:rowOff>215723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FC2DC33-ECBF-4C45-9C23-C9FC73868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50772" y="74706"/>
          <a:ext cx="4104821" cy="64910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76200</xdr:colOff>
      <xdr:row>14</xdr:row>
      <xdr:rowOff>19050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0</xdr:colOff>
      <xdr:row>1</xdr:row>
      <xdr:rowOff>0</xdr:rowOff>
    </xdr:from>
    <xdr:to>
      <xdr:col>36</xdr:col>
      <xdr:colOff>76200</xdr:colOff>
      <xdr:row>14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76200</xdr:colOff>
      <xdr:row>14</xdr:row>
      <xdr:rowOff>19050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76200</xdr:colOff>
      <xdr:row>28</xdr:row>
      <xdr:rowOff>19050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45</xdr:row>
      <xdr:rowOff>209549</xdr:rowOff>
    </xdr:from>
    <xdr:to>
      <xdr:col>22</xdr:col>
      <xdr:colOff>57150</xdr:colOff>
      <xdr:row>54</xdr:row>
      <xdr:rowOff>161924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56</xdr:row>
      <xdr:rowOff>0</xdr:rowOff>
    </xdr:from>
    <xdr:to>
      <xdr:col>22</xdr:col>
      <xdr:colOff>57150</xdr:colOff>
      <xdr:row>64</xdr:row>
      <xdr:rowOff>161925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36</xdr:col>
      <xdr:colOff>76200</xdr:colOff>
      <xdr:row>22</xdr:row>
      <xdr:rowOff>153150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0</xdr:colOff>
      <xdr:row>24</xdr:row>
      <xdr:rowOff>0</xdr:rowOff>
    </xdr:from>
    <xdr:to>
      <xdr:col>36</xdr:col>
      <xdr:colOff>76200</xdr:colOff>
      <xdr:row>31</xdr:row>
      <xdr:rowOff>153150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0</xdr:colOff>
      <xdr:row>33</xdr:row>
      <xdr:rowOff>0</xdr:rowOff>
    </xdr:from>
    <xdr:to>
      <xdr:col>36</xdr:col>
      <xdr:colOff>76200</xdr:colOff>
      <xdr:row>40</xdr:row>
      <xdr:rowOff>153150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0.44862</cdr:x>
      <cdr:y>0.83702</cdr:y>
    </cdr:from>
    <cdr:to>
      <cdr:x>0.66601</cdr:x>
      <cdr:y>0.95855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sSubPr>
                      <m:e>
                        <m:r>
                          <a:rPr lang="en-US" altLang="ja-JP" sz="1100" b="0" i="1">
                            <a:latin typeface="Cambria Math"/>
                          </a:rPr>
                          <m:t>𝜇</m:t>
                        </m:r>
                      </m:e>
                      <m:sub>
                        <m:r>
                          <a:rPr lang="en-US" altLang="ja-JP" sz="1100" b="0" i="1">
                            <a:latin typeface="Cambria Math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r>
                <a:rPr lang="en-US" altLang="ja-JP" sz="1100" b="0" i="0">
                  <a:latin typeface="Cambria Math"/>
                </a:rPr>
                <a:t>𝜇_𝑋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0.88859</cdr:x>
      <cdr:y>0.84738</cdr:y>
    </cdr:from>
    <cdr:to>
      <cdr:x>1</cdr:x>
      <cdr:y>0.96891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𝑥</m:t>
                    </m:r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𝑥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0.01449</cdr:x>
      <cdr:y>0.01852</cdr:y>
    </cdr:from>
    <cdr:to>
      <cdr:x>0.14674</cdr:x>
      <cdr:y>0.14005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𝑓</m:t>
                    </m:r>
                    <m:d>
                      <m:d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dPr>
                      <m:e>
                        <m:r>
                          <a:rPr lang="en-US" altLang="ja-JP" sz="1100" b="0" i="1">
                            <a:latin typeface="Cambria Math"/>
                          </a:rPr>
                          <m:t>𝑥</m:t>
                        </m:r>
                      </m:e>
                    </m:d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𝑓(𝑥)</a:t>
              </a:r>
              <a:endParaRPr lang="ja-JP" altLang="en-US" sz="1100"/>
            </a:p>
          </cdr:txBody>
        </cdr:sp>
      </mc:Fallback>
    </mc:AlternateContent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0.44862</cdr:x>
      <cdr:y>0.83702</cdr:y>
    </cdr:from>
    <cdr:to>
      <cdr:x>0.66601</cdr:x>
      <cdr:y>0.95855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sSubPr>
                      <m:e>
                        <m:r>
                          <a:rPr lang="en-US" altLang="ja-JP" sz="1100" b="0" i="1">
                            <a:latin typeface="Cambria Math"/>
                          </a:rPr>
                          <m:t>𝜇</m:t>
                        </m:r>
                      </m:e>
                      <m:sub>
                        <m:r>
                          <a:rPr lang="en-US" altLang="ja-JP" sz="1100" b="0" i="1">
                            <a:latin typeface="Cambria Math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r>
                <a:rPr lang="en-US" altLang="ja-JP" sz="1100" b="0" i="0">
                  <a:latin typeface="Cambria Math"/>
                </a:rPr>
                <a:t>𝜇_𝑋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0.88859</cdr:x>
      <cdr:y>0.84738</cdr:y>
    </cdr:from>
    <cdr:to>
      <cdr:x>1</cdr:x>
      <cdr:y>0.96891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𝑥</m:t>
                    </m:r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𝑥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0.01449</cdr:x>
      <cdr:y>0.01852</cdr:y>
    </cdr:from>
    <cdr:to>
      <cdr:x>0.14674</cdr:x>
      <cdr:y>0.14005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𝑓</m:t>
                    </m:r>
                    <m:d>
                      <m:d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dPr>
                      <m:e>
                        <m:r>
                          <a:rPr lang="en-US" altLang="ja-JP" sz="1100" b="0" i="1">
                            <a:latin typeface="Cambria Math"/>
                          </a:rPr>
                          <m:t>𝑥</m:t>
                        </m:r>
                      </m:e>
                    </m:d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𝑓(𝑥)</a:t>
              </a:r>
              <a:endParaRPr lang="ja-JP" altLang="en-US" sz="1100"/>
            </a:p>
          </cdr:txBody>
        </cdr:sp>
      </mc:Fallback>
    </mc:AlternateContent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sumura\GoogleDrive\tex\reitaku\statistics\2026\&#38920;&#27704;&#12505;&#12540;&#12473;&#29256;_KT\ensyu\06\06_AL&#29992;&#12527;&#12540;&#12463;&#12471;&#12540;&#12488;.xlsx" TargetMode="External"/><Relationship Id="rId1" Type="http://schemas.openxmlformats.org/officeDocument/2006/relationships/externalLinkPath" Target="06_AL&#29992;&#12527;&#12540;&#12463;&#12471;&#12540;&#124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rm.dist"/>
    </sheetNames>
    <sheetDataSet>
      <sheetData sheetId="0">
        <row r="5">
          <cell r="Z5" t="str">
            <v>f(x)</v>
          </cell>
          <cell r="AD5" t="str">
            <v>f(x'')</v>
          </cell>
        </row>
        <row r="6">
          <cell r="Y6">
            <v>-4</v>
          </cell>
          <cell r="Z6">
            <v>1.3383022576488537E-4</v>
          </cell>
          <cell r="AC6">
            <v>2</v>
          </cell>
          <cell r="AD6">
            <v>5.3990966513188063E-2</v>
          </cell>
        </row>
        <row r="7">
          <cell r="Y7">
            <v>-3.9</v>
          </cell>
          <cell r="Z7">
            <v>1.9865547139277272E-4</v>
          </cell>
          <cell r="AC7">
            <v>2.1</v>
          </cell>
          <cell r="AD7">
            <v>4.3983595980427191E-2</v>
          </cell>
        </row>
        <row r="8">
          <cell r="Y8">
            <v>-3.8</v>
          </cell>
          <cell r="Z8">
            <v>2.9194692579146027E-4</v>
          </cell>
          <cell r="AC8">
            <v>2.2000000000000002</v>
          </cell>
          <cell r="AD8">
            <v>3.5474592846231424E-2</v>
          </cell>
        </row>
        <row r="9">
          <cell r="Y9">
            <v>-3.6999999999999997</v>
          </cell>
          <cell r="Z9">
            <v>4.2478027055075219E-4</v>
          </cell>
          <cell r="AC9">
            <v>2.3000000000000003</v>
          </cell>
          <cell r="AD9">
            <v>2.8327037741601158E-2</v>
          </cell>
        </row>
        <row r="10">
          <cell r="Y10">
            <v>-3.5999999999999996</v>
          </cell>
          <cell r="Z10">
            <v>6.1190193011377298E-4</v>
          </cell>
          <cell r="AC10">
            <v>2.4000000000000004</v>
          </cell>
          <cell r="AD10">
            <v>2.2394530294842882E-2</v>
          </cell>
        </row>
        <row r="11">
          <cell r="Y11">
            <v>-3.4999999999999996</v>
          </cell>
          <cell r="Z11">
            <v>8.7268269504576167E-4</v>
          </cell>
          <cell r="AC11">
            <v>2.5000000000000004</v>
          </cell>
          <cell r="AD11">
            <v>1.7528300493568523E-2</v>
          </cell>
        </row>
        <row r="12">
          <cell r="Y12">
            <v>-3.3999999999999995</v>
          </cell>
          <cell r="Z12">
            <v>1.232219168473021E-3</v>
          </cell>
          <cell r="AC12">
            <v>2.6000000000000005</v>
          </cell>
          <cell r="AD12">
            <v>1.3582969233685602E-2</v>
          </cell>
        </row>
        <row r="13">
          <cell r="Y13">
            <v>-3.2999999999999994</v>
          </cell>
          <cell r="Z13">
            <v>1.7225689390536843E-3</v>
          </cell>
          <cell r="AC13">
            <v>2.7000000000000006</v>
          </cell>
          <cell r="AD13">
            <v>1.0420934814422578E-2</v>
          </cell>
        </row>
        <row r="14">
          <cell r="Y14">
            <v>-3.1999999999999993</v>
          </cell>
          <cell r="Z14">
            <v>2.3840882014648486E-3</v>
          </cell>
          <cell r="AC14">
            <v>2.8000000000000007</v>
          </cell>
          <cell r="AD14">
            <v>7.915451582979946E-3</v>
          </cell>
        </row>
        <row r="15">
          <cell r="Y15">
            <v>-3.0999999999999992</v>
          </cell>
          <cell r="Z15">
            <v>3.2668190561999273E-3</v>
          </cell>
          <cell r="AC15">
            <v>2.9000000000000008</v>
          </cell>
          <cell r="AD15">
            <v>5.9525324197758382E-3</v>
          </cell>
        </row>
        <row r="16">
          <cell r="Y16">
            <v>-2.9999999999999991</v>
          </cell>
          <cell r="Z16">
            <v>4.4318484119380188E-3</v>
          </cell>
          <cell r="AC16">
            <v>3.0000000000000009</v>
          </cell>
          <cell r="AD16">
            <v>4.4318484119379954E-3</v>
          </cell>
        </row>
        <row r="17">
          <cell r="Y17">
            <v>-2.899999999999999</v>
          </cell>
          <cell r="Z17">
            <v>5.9525324197758694E-3</v>
          </cell>
          <cell r="AC17">
            <v>3.100000000000001</v>
          </cell>
          <cell r="AD17">
            <v>3.26681905619991E-3</v>
          </cell>
        </row>
        <row r="18">
          <cell r="Y18">
            <v>-2.7999999999999989</v>
          </cell>
          <cell r="Z18">
            <v>7.9154515829799894E-3</v>
          </cell>
          <cell r="AC18">
            <v>3.2000000000000011</v>
          </cell>
          <cell r="AD18">
            <v>2.3840882014648343E-3</v>
          </cell>
        </row>
        <row r="19">
          <cell r="Y19">
            <v>-2.6999999999999988</v>
          </cell>
          <cell r="Z19">
            <v>1.0420934814422628E-2</v>
          </cell>
          <cell r="AC19">
            <v>3.3000000000000012</v>
          </cell>
          <cell r="AD19">
            <v>1.7225689390536734E-3</v>
          </cell>
        </row>
        <row r="20">
          <cell r="Y20">
            <v>-2.5999999999999988</v>
          </cell>
          <cell r="Z20">
            <v>1.3582969233685661E-2</v>
          </cell>
          <cell r="AC20">
            <v>3.4000000000000012</v>
          </cell>
          <cell r="AD20">
            <v>1.2322191684730143E-3</v>
          </cell>
        </row>
        <row r="21">
          <cell r="Y21">
            <v>-2.4999999999999987</v>
          </cell>
          <cell r="Z21">
            <v>1.7528300493568599E-2</v>
          </cell>
          <cell r="AC21">
            <v>3.5000000000000013</v>
          </cell>
          <cell r="AD21">
            <v>8.7268269504575625E-4</v>
          </cell>
        </row>
        <row r="22">
          <cell r="Y22">
            <v>-2.3999999999999986</v>
          </cell>
          <cell r="Z22">
            <v>2.2394530294842969E-2</v>
          </cell>
          <cell r="AC22">
            <v>3.6000000000000014</v>
          </cell>
          <cell r="AD22">
            <v>6.1190193011376919E-4</v>
          </cell>
        </row>
        <row r="23">
          <cell r="Y23">
            <v>-2.2999999999999985</v>
          </cell>
          <cell r="Z23">
            <v>2.8327037741601276E-2</v>
          </cell>
          <cell r="AC23">
            <v>3.7000000000000015</v>
          </cell>
          <cell r="AD23">
            <v>4.2478027055074921E-4</v>
          </cell>
        </row>
        <row r="24">
          <cell r="Y24">
            <v>-2.1999999999999984</v>
          </cell>
          <cell r="Z24">
            <v>3.547459284623157E-2</v>
          </cell>
          <cell r="AC24">
            <v>3.8000000000000016</v>
          </cell>
          <cell r="AD24">
            <v>2.9194692579145848E-4</v>
          </cell>
        </row>
        <row r="25">
          <cell r="Y25">
            <v>-2.0999999999999983</v>
          </cell>
          <cell r="Z25">
            <v>4.3983595980427351E-2</v>
          </cell>
          <cell r="AC25">
            <v>3.9000000000000017</v>
          </cell>
          <cell r="AD25">
            <v>1.9865547139277128E-4</v>
          </cell>
        </row>
        <row r="26">
          <cell r="Y26">
            <v>-1.9999999999999982</v>
          </cell>
          <cell r="Z26">
            <v>5.399096651318825E-2</v>
          </cell>
          <cell r="AC26">
            <v>4.0000000000000018</v>
          </cell>
          <cell r="AD26">
            <v>1.3383022576488442E-4</v>
          </cell>
        </row>
        <row r="27">
          <cell r="Y27">
            <v>-1.8999999999999981</v>
          </cell>
          <cell r="Z27">
            <v>6.5615814774676831E-2</v>
          </cell>
        </row>
        <row r="28">
          <cell r="Y28">
            <v>-1.799999999999998</v>
          </cell>
          <cell r="Z28">
            <v>7.8950158300894427E-2</v>
          </cell>
        </row>
        <row r="29">
          <cell r="Y29">
            <v>-1.699999999999998</v>
          </cell>
          <cell r="Z29">
            <v>9.4049077376887252E-2</v>
          </cell>
        </row>
        <row r="30">
          <cell r="Y30">
            <v>-1.5999999999999979</v>
          </cell>
          <cell r="Z30">
            <v>0.11092083467945592</v>
          </cell>
        </row>
        <row r="31">
          <cell r="Y31">
            <v>-1.4999999999999978</v>
          </cell>
          <cell r="Z31">
            <v>0.12951759566589216</v>
          </cell>
        </row>
        <row r="32">
          <cell r="Y32">
            <v>-1.3999999999999977</v>
          </cell>
          <cell r="Z32">
            <v>0.14972746563574535</v>
          </cell>
        </row>
        <row r="33">
          <cell r="Y33">
            <v>-1.2999999999999976</v>
          </cell>
          <cell r="Z33">
            <v>0.17136859204780791</v>
          </cell>
        </row>
        <row r="34">
          <cell r="Y34">
            <v>-1.1999999999999975</v>
          </cell>
          <cell r="Z34">
            <v>0.19418605498321354</v>
          </cell>
        </row>
        <row r="35">
          <cell r="Y35">
            <v>-1.0999999999999974</v>
          </cell>
          <cell r="Z35">
            <v>0.21785217703255116</v>
          </cell>
        </row>
        <row r="36">
          <cell r="Y36">
            <v>-0.99999999999999745</v>
          </cell>
          <cell r="Z36">
            <v>0.24197072451914398</v>
          </cell>
        </row>
        <row r="37">
          <cell r="Y37">
            <v>-0.89999999999999747</v>
          </cell>
          <cell r="Z37">
            <v>0.26608524989875543</v>
          </cell>
        </row>
        <row r="38">
          <cell r="Y38">
            <v>-0.79999999999999749</v>
          </cell>
          <cell r="Z38">
            <v>0.28969155276148334</v>
          </cell>
        </row>
        <row r="39">
          <cell r="Y39">
            <v>-0.69999999999999751</v>
          </cell>
          <cell r="Z39">
            <v>0.31225393336676183</v>
          </cell>
        </row>
        <row r="40">
          <cell r="Y40">
            <v>-0.59999999999999754</v>
          </cell>
          <cell r="Z40">
            <v>0.33322460289180011</v>
          </cell>
        </row>
        <row r="41">
          <cell r="Y41">
            <v>-0.49999999999999756</v>
          </cell>
          <cell r="Z41">
            <v>0.35206532676429991</v>
          </cell>
        </row>
        <row r="42">
          <cell r="Y42">
            <v>-0.39999999999999758</v>
          </cell>
          <cell r="Z42">
            <v>0.36827014030332367</v>
          </cell>
        </row>
        <row r="43">
          <cell r="Y43">
            <v>-0.2999999999999976</v>
          </cell>
          <cell r="Z43">
            <v>0.38138781546052442</v>
          </cell>
        </row>
        <row r="44">
          <cell r="Y44">
            <v>-0.1999999999999976</v>
          </cell>
          <cell r="Z44">
            <v>0.3910426939754561</v>
          </cell>
        </row>
        <row r="45">
          <cell r="Y45">
            <v>-9.9999999999997591E-2</v>
          </cell>
          <cell r="Z45">
            <v>0.39695254747701186</v>
          </cell>
        </row>
        <row r="46">
          <cell r="Y46">
            <v>2.4147350785597155E-15</v>
          </cell>
          <cell r="Z46">
            <v>0.3989422804014327</v>
          </cell>
        </row>
        <row r="47">
          <cell r="Y47">
            <v>0.10000000000000242</v>
          </cell>
          <cell r="Z47">
            <v>0.3969525474770117</v>
          </cell>
        </row>
        <row r="48">
          <cell r="Y48">
            <v>0.20000000000000243</v>
          </cell>
          <cell r="Z48">
            <v>0.39104269397545571</v>
          </cell>
        </row>
        <row r="49">
          <cell r="Y49">
            <v>0.30000000000000243</v>
          </cell>
          <cell r="Z49">
            <v>0.3813878154605238</v>
          </cell>
        </row>
        <row r="50">
          <cell r="Y50">
            <v>0.40000000000000246</v>
          </cell>
          <cell r="Z50">
            <v>0.36827014030332295</v>
          </cell>
        </row>
        <row r="51">
          <cell r="Y51">
            <v>0.50000000000000244</v>
          </cell>
          <cell r="Z51">
            <v>0.35206532676429908</v>
          </cell>
        </row>
        <row r="52">
          <cell r="Y52">
            <v>0.60000000000000242</v>
          </cell>
          <cell r="Z52">
            <v>0.33322460289179917</v>
          </cell>
        </row>
        <row r="53">
          <cell r="Y53">
            <v>0.7000000000000024</v>
          </cell>
          <cell r="Z53">
            <v>0.31225393336676072</v>
          </cell>
        </row>
        <row r="54">
          <cell r="Y54">
            <v>0.80000000000000238</v>
          </cell>
          <cell r="Z54">
            <v>0.28969155276148217</v>
          </cell>
        </row>
        <row r="55">
          <cell r="Y55">
            <v>0.90000000000000235</v>
          </cell>
          <cell r="Z55">
            <v>0.26608524989875426</v>
          </cell>
        </row>
        <row r="56">
          <cell r="Y56">
            <v>1.0000000000000024</v>
          </cell>
          <cell r="Z56">
            <v>0.24197072451914278</v>
          </cell>
        </row>
        <row r="57">
          <cell r="Y57">
            <v>1.1000000000000025</v>
          </cell>
          <cell r="Z57">
            <v>0.21785217703254997</v>
          </cell>
        </row>
        <row r="58">
          <cell r="Y58">
            <v>1.2000000000000026</v>
          </cell>
          <cell r="Z58">
            <v>0.19418605498321231</v>
          </cell>
        </row>
        <row r="59">
          <cell r="Y59">
            <v>1.3000000000000027</v>
          </cell>
          <cell r="Z59">
            <v>0.17136859204780677</v>
          </cell>
        </row>
        <row r="60">
          <cell r="Y60">
            <v>1.4000000000000028</v>
          </cell>
          <cell r="Z60">
            <v>0.14972746563574427</v>
          </cell>
        </row>
        <row r="61">
          <cell r="Y61">
            <v>1.5000000000000029</v>
          </cell>
          <cell r="Z61">
            <v>0.12951759566589116</v>
          </cell>
        </row>
        <row r="62">
          <cell r="Y62">
            <v>1.600000000000003</v>
          </cell>
          <cell r="Z62">
            <v>0.11092083467945503</v>
          </cell>
        </row>
        <row r="63">
          <cell r="Y63">
            <v>1.7000000000000031</v>
          </cell>
          <cell r="Z63">
            <v>9.4049077376886434E-2</v>
          </cell>
        </row>
        <row r="64">
          <cell r="Y64">
            <v>1.8000000000000032</v>
          </cell>
          <cell r="Z64">
            <v>7.8950158300893719E-2</v>
          </cell>
        </row>
        <row r="65">
          <cell r="Y65">
            <v>1.9000000000000032</v>
          </cell>
          <cell r="Z65">
            <v>6.5615814774676193E-2</v>
          </cell>
        </row>
        <row r="66">
          <cell r="Y66">
            <v>2.0000000000000031</v>
          </cell>
          <cell r="Z66">
            <v>5.3990966513187716E-2</v>
          </cell>
        </row>
        <row r="67">
          <cell r="Y67">
            <v>2.1000000000000032</v>
          </cell>
          <cell r="Z67">
            <v>4.39835959804269E-2</v>
          </cell>
        </row>
        <row r="68">
          <cell r="Y68">
            <v>2.2000000000000033</v>
          </cell>
          <cell r="Z68">
            <v>3.5474592846231189E-2</v>
          </cell>
        </row>
        <row r="69">
          <cell r="Y69">
            <v>2.3000000000000034</v>
          </cell>
          <cell r="Z69">
            <v>2.8327037741600961E-2</v>
          </cell>
        </row>
        <row r="70">
          <cell r="Y70">
            <v>2.4000000000000035</v>
          </cell>
          <cell r="Z70">
            <v>2.2394530294842712E-2</v>
          </cell>
        </row>
        <row r="71">
          <cell r="Y71">
            <v>2.5000000000000036</v>
          </cell>
          <cell r="Z71">
            <v>1.7528300493568381E-2</v>
          </cell>
        </row>
        <row r="72">
          <cell r="Y72">
            <v>2.6000000000000036</v>
          </cell>
          <cell r="Z72">
            <v>1.3582969233685486E-2</v>
          </cell>
        </row>
        <row r="73">
          <cell r="Y73">
            <v>2.7000000000000037</v>
          </cell>
          <cell r="Z73">
            <v>1.0420934814422488E-2</v>
          </cell>
        </row>
        <row r="74">
          <cell r="Y74">
            <v>2.8000000000000038</v>
          </cell>
          <cell r="Z74">
            <v>7.9154515829798801E-3</v>
          </cell>
        </row>
        <row r="75">
          <cell r="Y75">
            <v>2.9000000000000039</v>
          </cell>
          <cell r="Z75">
            <v>5.9525324197757853E-3</v>
          </cell>
        </row>
        <row r="76">
          <cell r="Y76">
            <v>3.000000000000004</v>
          </cell>
          <cell r="Z76">
            <v>4.4318484119379529E-3</v>
          </cell>
        </row>
        <row r="77">
          <cell r="Y77">
            <v>3.1000000000000041</v>
          </cell>
          <cell r="Z77">
            <v>3.2668190561998783E-3</v>
          </cell>
        </row>
        <row r="78">
          <cell r="Y78">
            <v>3.2000000000000042</v>
          </cell>
          <cell r="Z78">
            <v>2.3840882014648105E-3</v>
          </cell>
        </row>
        <row r="79">
          <cell r="Y79">
            <v>3.3000000000000043</v>
          </cell>
          <cell r="Z79">
            <v>1.7225689390536552E-3</v>
          </cell>
        </row>
        <row r="80">
          <cell r="Y80">
            <v>3.4000000000000044</v>
          </cell>
          <cell r="Z80">
            <v>1.2322191684730013E-3</v>
          </cell>
        </row>
        <row r="81">
          <cell r="Y81">
            <v>3.5000000000000044</v>
          </cell>
          <cell r="Z81">
            <v>8.7268269504574606E-4</v>
          </cell>
        </row>
        <row r="82">
          <cell r="Y82">
            <v>3.6000000000000045</v>
          </cell>
          <cell r="Z82">
            <v>6.1190193011376214E-4</v>
          </cell>
        </row>
        <row r="83">
          <cell r="Y83">
            <v>3.7000000000000046</v>
          </cell>
          <cell r="Z83">
            <v>4.2478027055074428E-4</v>
          </cell>
        </row>
        <row r="84">
          <cell r="Y84">
            <v>3.8000000000000047</v>
          </cell>
          <cell r="Z84">
            <v>2.9194692579145507E-4</v>
          </cell>
        </row>
        <row r="85">
          <cell r="Y85">
            <v>3.9000000000000048</v>
          </cell>
          <cell r="Z85">
            <v>1.9865547139276881E-4</v>
          </cell>
        </row>
        <row r="86">
          <cell r="Y86">
            <v>4.0000000000000044</v>
          </cell>
          <cell r="Z86">
            <v>1.3383022576488298E-4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5D60-D7F6-4A48-B0D7-241DA9E72385}">
  <dimension ref="A1:FZ37"/>
  <sheetViews>
    <sheetView showGridLines="0" view="pageBreakPreview" topLeftCell="BF1" zoomScaleNormal="90" zoomScaleSheetLayoutView="100" zoomScalePageLayoutView="80" workbookViewId="0">
      <selection activeCell="DW8" sqref="DW8:EB9"/>
    </sheetView>
  </sheetViews>
  <sheetFormatPr defaultColWidth="3.58203125" defaultRowHeight="25" customHeight="1" x14ac:dyDescent="0.35"/>
  <cols>
    <col min="1" max="1" width="3.58203125" style="6"/>
    <col min="2" max="2" width="4.33203125" style="6" bestFit="1" customWidth="1"/>
    <col min="3" max="7" width="3.58203125" style="6"/>
    <col min="8" max="8" width="4" style="6" bestFit="1" customWidth="1"/>
    <col min="9" max="155" width="3.58203125" style="6"/>
    <col min="156" max="160" width="3.58203125" style="6" customWidth="1"/>
    <col min="161" max="182" width="3.58203125" style="6"/>
    <col min="183" max="16384" width="3.58203125" style="1"/>
  </cols>
  <sheetData>
    <row r="1" spans="1:182" ht="25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</row>
    <row r="2" spans="1:182" ht="25" customHeight="1" x14ac:dyDescent="0.35">
      <c r="A2" s="1"/>
      <c r="B2" s="1"/>
      <c r="C2" s="23" t="s">
        <v>0</v>
      </c>
      <c r="D2" s="24"/>
      <c r="E2" s="24"/>
      <c r="F2" s="25"/>
      <c r="G2" s="10" t="s">
        <v>68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7"/>
      <c r="Z2" s="7"/>
      <c r="AA2" s="18"/>
      <c r="AB2" s="18"/>
      <c r="AC2" s="18"/>
      <c r="AD2" s="6" t="s">
        <v>26</v>
      </c>
      <c r="AU2" s="22" t="s">
        <v>27</v>
      </c>
      <c r="AV2" s="22"/>
      <c r="AW2" s="22"/>
      <c r="AX2" s="22"/>
      <c r="AY2" s="22"/>
      <c r="CA2" s="18"/>
      <c r="CB2" s="18"/>
      <c r="CC2" s="18"/>
      <c r="CD2" s="6" t="s">
        <v>65</v>
      </c>
      <c r="DE2" s="18"/>
      <c r="DF2" s="18"/>
      <c r="DG2" s="18"/>
      <c r="DH2" s="6" t="s">
        <v>66</v>
      </c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</row>
    <row r="3" spans="1:182" ht="25" customHeight="1" x14ac:dyDescent="0.35">
      <c r="A3" s="1"/>
      <c r="B3" s="1"/>
      <c r="C3" s="26"/>
      <c r="D3" s="27"/>
      <c r="E3" s="27"/>
      <c r="F3" s="28"/>
      <c r="G3" s="4" t="s">
        <v>69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5"/>
      <c r="Y3" s="7"/>
      <c r="Z3" s="7"/>
      <c r="AE3" s="6" t="s">
        <v>28</v>
      </c>
      <c r="CE3" s="6" t="s">
        <v>44</v>
      </c>
      <c r="DG3" s="6" t="s">
        <v>41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</row>
    <row r="4" spans="1:182" ht="25" customHeight="1" thickBot="1" x14ac:dyDescent="0.4">
      <c r="A4" s="1"/>
      <c r="B4" s="1"/>
      <c r="C4" s="29"/>
      <c r="D4" s="30"/>
      <c r="E4" s="30"/>
      <c r="F4" s="31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  <c r="Y4" s="8"/>
      <c r="Z4" s="8"/>
      <c r="AE4" s="6" t="s">
        <v>29</v>
      </c>
      <c r="CF4" s="6" t="s">
        <v>45</v>
      </c>
      <c r="CI4" s="6" t="s">
        <v>46</v>
      </c>
      <c r="DH4" s="6" t="s">
        <v>16</v>
      </c>
      <c r="DI4" s="6" t="s">
        <v>64</v>
      </c>
      <c r="DU4" s="6" t="s">
        <v>62</v>
      </c>
      <c r="DY4" s="6" t="s">
        <v>30</v>
      </c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</row>
    <row r="5" spans="1:182" ht="25" customHeight="1" x14ac:dyDescent="0.35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7"/>
      <c r="Y5" s="8"/>
      <c r="Z5" s="8"/>
      <c r="AD5" s="6" t="s">
        <v>19</v>
      </c>
      <c r="CF5" s="6" t="s">
        <v>47</v>
      </c>
      <c r="CI5" s="6" t="s">
        <v>48</v>
      </c>
      <c r="DW5" s="36"/>
      <c r="DX5" s="37"/>
      <c r="DY5" s="37"/>
      <c r="DZ5" s="37"/>
      <c r="EA5" s="37"/>
      <c r="EB5" s="38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</row>
    <row r="6" spans="1:182" ht="25" customHeight="1" x14ac:dyDescent="0.35">
      <c r="A6" s="8"/>
      <c r="B6" s="8"/>
      <c r="D6" s="7"/>
      <c r="E6" s="32"/>
      <c r="F6" s="33"/>
      <c r="G6" s="33"/>
      <c r="H6" s="33"/>
      <c r="I6" s="33"/>
      <c r="J6" s="34"/>
      <c r="K6" s="7" t="s">
        <v>67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  <c r="AE6" s="6" t="s">
        <v>12</v>
      </c>
      <c r="AI6" s="6" t="s">
        <v>30</v>
      </c>
      <c r="AK6" s="6" t="s">
        <v>31</v>
      </c>
      <c r="AT6" s="6" t="s">
        <v>32</v>
      </c>
      <c r="CF6" s="6" t="s">
        <v>42</v>
      </c>
      <c r="CI6" s="6" t="s">
        <v>49</v>
      </c>
      <c r="DW6" s="39"/>
      <c r="DX6" s="40"/>
      <c r="DY6" s="40"/>
      <c r="DZ6" s="40"/>
      <c r="EA6" s="40"/>
      <c r="EB6" s="4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</row>
    <row r="7" spans="1:182" ht="25" customHeight="1" x14ac:dyDescent="0.35">
      <c r="A7" s="8"/>
      <c r="B7" s="8"/>
      <c r="D7" s="7"/>
      <c r="E7" s="7"/>
      <c r="F7" s="7"/>
      <c r="G7" s="7"/>
      <c r="H7" s="7"/>
      <c r="I7" s="7"/>
      <c r="J7" s="7"/>
      <c r="K7" s="7" t="s">
        <v>13</v>
      </c>
      <c r="L7" s="7" t="s">
        <v>21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15"/>
      <c r="Z7" s="9"/>
      <c r="AE7" s="6" t="s">
        <v>20</v>
      </c>
      <c r="AK7" s="6" t="s">
        <v>33</v>
      </c>
      <c r="CE7" s="6" t="s">
        <v>50</v>
      </c>
      <c r="CI7" s="6" t="s">
        <v>51</v>
      </c>
      <c r="CL7" s="6" t="s">
        <v>13</v>
      </c>
      <c r="CV7" s="6" t="s">
        <v>52</v>
      </c>
      <c r="DH7" s="6" t="s">
        <v>17</v>
      </c>
      <c r="DI7" s="6" t="s">
        <v>63</v>
      </c>
      <c r="DU7" s="6" t="s">
        <v>62</v>
      </c>
      <c r="DY7" s="6" t="s">
        <v>30</v>
      </c>
      <c r="EC7" s="16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</row>
    <row r="8" spans="1:182" ht="25" customHeight="1" x14ac:dyDescent="0.35">
      <c r="A8" s="8"/>
      <c r="B8" s="8"/>
      <c r="D8" s="7"/>
      <c r="E8" s="7"/>
      <c r="F8" s="7"/>
      <c r="G8" s="7"/>
      <c r="H8" s="7"/>
      <c r="I8" s="7"/>
      <c r="J8" s="7"/>
      <c r="K8" s="7"/>
      <c r="L8" s="7" t="s">
        <v>22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DW8" s="36"/>
      <c r="DX8" s="37"/>
      <c r="DY8" s="37"/>
      <c r="DZ8" s="37"/>
      <c r="EA8" s="37"/>
      <c r="EB8" s="38"/>
      <c r="EC8" s="16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</row>
    <row r="9" spans="1:182" ht="25" customHeight="1" x14ac:dyDescent="0.35">
      <c r="A9" s="8"/>
      <c r="B9" s="8"/>
      <c r="D9" s="7"/>
      <c r="E9" s="7"/>
      <c r="F9" s="7"/>
      <c r="G9" s="7"/>
      <c r="H9" s="7"/>
      <c r="I9" s="7"/>
      <c r="J9" s="7"/>
      <c r="K9" s="7" t="s">
        <v>15</v>
      </c>
      <c r="L9" s="7" t="s">
        <v>24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  <c r="AG9" s="6" t="s">
        <v>34</v>
      </c>
      <c r="AJ9" s="6" t="s">
        <v>35</v>
      </c>
      <c r="CE9" s="6" t="s">
        <v>53</v>
      </c>
      <c r="DW9" s="39"/>
      <c r="DX9" s="40"/>
      <c r="DY9" s="40"/>
      <c r="DZ9" s="40"/>
      <c r="EA9" s="40"/>
      <c r="EB9" s="4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</row>
    <row r="10" spans="1:182" ht="25" customHeight="1" x14ac:dyDescent="0.35">
      <c r="A10" s="8"/>
      <c r="B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  <c r="CE10" s="6" t="s">
        <v>54</v>
      </c>
      <c r="CR10" s="6" t="s">
        <v>55</v>
      </c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</row>
    <row r="11" spans="1:182" ht="25" customHeight="1" x14ac:dyDescent="0.35">
      <c r="A11" s="8"/>
      <c r="B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  <c r="DW11" s="35"/>
      <c r="DX11" s="35"/>
      <c r="DY11" s="35"/>
      <c r="DZ11" s="35"/>
      <c r="EA11" s="35"/>
      <c r="EB11" s="35"/>
      <c r="EC11" s="16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</row>
    <row r="12" spans="1:182" ht="25" customHeight="1" x14ac:dyDescent="0.35">
      <c r="A12" s="8"/>
      <c r="B12" s="8"/>
      <c r="D12" s="7"/>
      <c r="E12" s="7"/>
      <c r="F12" s="7"/>
      <c r="G12" s="7"/>
      <c r="H12" s="7"/>
      <c r="I12" s="7"/>
      <c r="J12" s="7"/>
      <c r="K12" s="7" t="s">
        <v>15</v>
      </c>
      <c r="L12" s="7" t="s">
        <v>25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  <c r="CE12" s="6" t="s">
        <v>16</v>
      </c>
      <c r="CF12" s="6" t="s">
        <v>57</v>
      </c>
      <c r="DW12" s="35"/>
      <c r="DX12" s="35"/>
      <c r="DY12" s="35"/>
      <c r="DZ12" s="35"/>
      <c r="EA12" s="35"/>
      <c r="EB12" s="35"/>
      <c r="EC12" s="16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</row>
    <row r="13" spans="1:182" ht="25" customHeight="1" x14ac:dyDescent="0.35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22"/>
      <c r="U13" s="22"/>
      <c r="V13" s="22"/>
      <c r="W13" s="7"/>
      <c r="X13" s="7"/>
      <c r="Y13" s="7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</row>
    <row r="14" spans="1:182" ht="25" customHeight="1" x14ac:dyDescent="0.35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AX14" s="8"/>
      <c r="DW14" s="35"/>
      <c r="DX14" s="35"/>
      <c r="DY14" s="35"/>
      <c r="DZ14" s="35"/>
      <c r="EA14" s="35"/>
      <c r="EB14" s="35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</row>
    <row r="15" spans="1:182" ht="25" customHeight="1" x14ac:dyDescent="0.35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DW15" s="35"/>
      <c r="DX15" s="35"/>
      <c r="DY15" s="35"/>
      <c r="DZ15" s="35"/>
      <c r="EA15" s="35"/>
      <c r="EB15" s="35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</row>
    <row r="16" spans="1:182" ht="25" customHeight="1" x14ac:dyDescent="0.35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CE16" s="6" t="s">
        <v>17</v>
      </c>
      <c r="CF16" s="6" t="s">
        <v>59</v>
      </c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</row>
    <row r="17" spans="1:182" ht="25" customHeight="1" x14ac:dyDescent="0.35">
      <c r="A17" s="18"/>
      <c r="B17" s="18"/>
      <c r="C17" s="1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CR17" s="19"/>
      <c r="CS17" s="20"/>
      <c r="CT17" s="20"/>
      <c r="CU17" s="20"/>
      <c r="CV17" s="20"/>
      <c r="CW17" s="20"/>
      <c r="CX17" s="21"/>
      <c r="DW17" s="35"/>
      <c r="DX17" s="35"/>
      <c r="DY17" s="35"/>
      <c r="DZ17" s="35"/>
      <c r="EA17" s="35"/>
      <c r="EB17" s="35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</row>
    <row r="18" spans="1:182" ht="25" customHeight="1" x14ac:dyDescent="0.35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CE18" s="6" t="s">
        <v>18</v>
      </c>
      <c r="CM18" s="6" t="s">
        <v>61</v>
      </c>
      <c r="CR18" s="19"/>
      <c r="CS18" s="20"/>
      <c r="CT18" s="20"/>
      <c r="CU18" s="20"/>
      <c r="CV18" s="20"/>
      <c r="CW18" s="20"/>
      <c r="CX18" s="21"/>
      <c r="DW18" s="35"/>
      <c r="DX18" s="35"/>
      <c r="DY18" s="35"/>
      <c r="DZ18" s="35"/>
      <c r="EA18" s="35"/>
      <c r="EB18" s="35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</row>
    <row r="19" spans="1:182" ht="25" customHeight="1" x14ac:dyDescent="0.35"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</row>
    <row r="20" spans="1:182" ht="25" customHeight="1" x14ac:dyDescent="0.35">
      <c r="CC20" s="17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DW20" s="35"/>
      <c r="DX20" s="35"/>
      <c r="DY20" s="35"/>
      <c r="DZ20" s="35"/>
      <c r="EA20" s="35"/>
      <c r="EB20" s="35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</row>
    <row r="21" spans="1:182" ht="25" customHeight="1" x14ac:dyDescent="0.35">
      <c r="E21" s="22"/>
      <c r="F21" s="22"/>
      <c r="G21" s="22"/>
      <c r="H21" s="22"/>
      <c r="I21" s="22"/>
      <c r="J21" s="22"/>
      <c r="AY21" s="16"/>
      <c r="AZ21" s="16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6"/>
      <c r="CZ21" s="16"/>
      <c r="DW21" s="35"/>
      <c r="DX21" s="35"/>
      <c r="DY21" s="35"/>
      <c r="DZ21" s="35"/>
      <c r="EA21" s="35"/>
      <c r="EB21" s="35"/>
      <c r="ED21" s="16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</row>
    <row r="22" spans="1:182" ht="25" customHeight="1" x14ac:dyDescent="0.35">
      <c r="E22" s="22"/>
      <c r="F22" s="22"/>
      <c r="G22" s="22"/>
      <c r="H22" s="22"/>
      <c r="I22" s="22"/>
      <c r="J22" s="22"/>
      <c r="AY22" s="16"/>
      <c r="AZ22" s="16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6"/>
      <c r="CZ22" s="16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6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</row>
    <row r="23" spans="1:182" ht="25" customHeight="1" x14ac:dyDescent="0.35"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</row>
    <row r="24" spans="1:182" ht="25" customHeight="1" x14ac:dyDescent="0.35">
      <c r="CA24" s="18"/>
      <c r="CB24" s="18"/>
      <c r="CC24" s="18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</row>
    <row r="25" spans="1:182" ht="25" customHeight="1" x14ac:dyDescent="0.35">
      <c r="AY25" s="16"/>
      <c r="AZ25" s="16"/>
      <c r="CY25" s="16"/>
      <c r="CZ25" s="16"/>
      <c r="ED25" s="16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</row>
    <row r="26" spans="1:182" ht="25" customHeight="1" x14ac:dyDescent="0.35">
      <c r="AY26" s="16"/>
      <c r="AZ26" s="16"/>
      <c r="CY26" s="16"/>
      <c r="CZ26" s="16"/>
      <c r="ED26" s="16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</row>
    <row r="27" spans="1:182" ht="25" customHeight="1" x14ac:dyDescent="0.35"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</row>
    <row r="28" spans="1:182" ht="25" customHeight="1" x14ac:dyDescent="0.35">
      <c r="AB28" s="6" t="s">
        <v>16</v>
      </c>
      <c r="AC28" s="6" t="s">
        <v>38</v>
      </c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</row>
    <row r="29" spans="1:182" ht="25" customHeight="1" x14ac:dyDescent="0.35">
      <c r="AB29" s="6" t="s">
        <v>17</v>
      </c>
      <c r="AC29" s="6" t="s">
        <v>37</v>
      </c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</row>
    <row r="30" spans="1:182" ht="25" customHeight="1" x14ac:dyDescent="0.35">
      <c r="AB30" s="6" t="s">
        <v>18</v>
      </c>
      <c r="AC30" s="6" t="s">
        <v>39</v>
      </c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</row>
    <row r="31" spans="1:182" ht="25" customHeight="1" x14ac:dyDescent="0.35">
      <c r="AC31" s="6" t="s">
        <v>20</v>
      </c>
      <c r="AI31" s="6" t="s">
        <v>40</v>
      </c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</row>
    <row r="32" spans="1:182" ht="25" customHeight="1" x14ac:dyDescent="0.35"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</row>
    <row r="33" spans="134:182" ht="25" customHeight="1" x14ac:dyDescent="0.35"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</row>
    <row r="34" spans="134:182" ht="25" customHeight="1" x14ac:dyDescent="0.35"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</row>
    <row r="35" spans="134:182" ht="25" customHeight="1" x14ac:dyDescent="0.35"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</row>
    <row r="36" spans="134:182" ht="25" customHeight="1" x14ac:dyDescent="0.35"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</row>
    <row r="37" spans="134:182" ht="25" customHeight="1" x14ac:dyDescent="0.35"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</row>
  </sheetData>
  <mergeCells count="18">
    <mergeCell ref="DW17:EB18"/>
    <mergeCell ref="DW20:EB21"/>
    <mergeCell ref="DW5:EB6"/>
    <mergeCell ref="DW8:EB9"/>
    <mergeCell ref="DW11:EB12"/>
    <mergeCell ref="DW14:EB15"/>
    <mergeCell ref="E21:J22"/>
    <mergeCell ref="AU2:AY2"/>
    <mergeCell ref="C2:F4"/>
    <mergeCell ref="AA2:AC2"/>
    <mergeCell ref="A17:C17"/>
    <mergeCell ref="E6:J6"/>
    <mergeCell ref="DE2:DG2"/>
    <mergeCell ref="CR17:CX17"/>
    <mergeCell ref="CR18:CX18"/>
    <mergeCell ref="T13:V13"/>
    <mergeCell ref="CA24:CC24"/>
    <mergeCell ref="CA2:CC2"/>
  </mergeCells>
  <phoneticPr fontId="2"/>
  <pageMargins left="0.70866141732283472" right="0.86614173228346458" top="0.74803149606299213" bottom="0.74803149606299213" header="0.31496062992125984" footer="0.31496062992125984"/>
  <pageSetup paperSize="9" scale="77" orientation="portrait" r:id="rId1"/>
  <headerFooter>
    <oddHeader>&amp;C&amp;"メイリオ,レギュラー"&amp;16&amp;A&amp;R&amp;"メイリオ,レギュラー"（担当：津村）</oddHeader>
    <oddFooter>&amp;C&amp;"メイリオ,レギュラー"&amp;14&amp;P / &amp;N</oddFooter>
  </headerFooter>
  <colBreaks count="3" manualBreakCount="3">
    <brk id="26" max="36" man="1"/>
    <brk id="78" max="36" man="1"/>
    <brk id="108" max="3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Z37"/>
  <sheetViews>
    <sheetView showGridLines="0" tabSelected="1" view="pageBreakPreview" topLeftCell="CK1" zoomScaleNormal="90" zoomScaleSheetLayoutView="100" zoomScalePageLayoutView="80" workbookViewId="0">
      <selection activeCell="DW8" sqref="DW8:EB9"/>
    </sheetView>
  </sheetViews>
  <sheetFormatPr defaultColWidth="3.58203125" defaultRowHeight="25" customHeight="1" x14ac:dyDescent="0.35"/>
  <cols>
    <col min="1" max="1" width="3.58203125" style="6"/>
    <col min="2" max="2" width="4.33203125" style="6" bestFit="1" customWidth="1"/>
    <col min="3" max="7" width="3.58203125" style="6"/>
    <col min="8" max="8" width="4" style="6" bestFit="1" customWidth="1"/>
    <col min="9" max="155" width="3.58203125" style="6"/>
    <col min="156" max="160" width="3.58203125" style="6" customWidth="1"/>
    <col min="161" max="182" width="3.58203125" style="6"/>
    <col min="183" max="16384" width="3.58203125" style="1"/>
  </cols>
  <sheetData>
    <row r="1" spans="1:182" ht="25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</row>
    <row r="2" spans="1:182" ht="25" customHeight="1" x14ac:dyDescent="0.35">
      <c r="A2" s="1"/>
      <c r="B2" s="1"/>
      <c r="C2" s="23" t="s">
        <v>0</v>
      </c>
      <c r="D2" s="24"/>
      <c r="E2" s="24"/>
      <c r="F2" s="25"/>
      <c r="G2" s="10" t="s">
        <v>68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7"/>
      <c r="Z2" s="7"/>
      <c r="AA2" s="18"/>
      <c r="AB2" s="18"/>
      <c r="AC2" s="18"/>
      <c r="AD2" s="6" t="s">
        <v>26</v>
      </c>
      <c r="AU2" s="22" t="s">
        <v>27</v>
      </c>
      <c r="AV2" s="22"/>
      <c r="AW2" s="22"/>
      <c r="AX2" s="22"/>
      <c r="AY2" s="22"/>
      <c r="CA2" s="18"/>
      <c r="CB2" s="18"/>
      <c r="CC2" s="18"/>
      <c r="CD2" s="6" t="s">
        <v>65</v>
      </c>
      <c r="DE2" s="18"/>
      <c r="DF2" s="18"/>
      <c r="DG2" s="18"/>
      <c r="DH2" s="6" t="s">
        <v>66</v>
      </c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</row>
    <row r="3" spans="1:182" ht="25" customHeight="1" x14ac:dyDescent="0.35">
      <c r="A3" s="1"/>
      <c r="B3" s="1"/>
      <c r="C3" s="26"/>
      <c r="D3" s="27"/>
      <c r="E3" s="27"/>
      <c r="F3" s="28"/>
      <c r="G3" s="4" t="s">
        <v>69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5"/>
      <c r="Y3" s="7"/>
      <c r="Z3" s="7"/>
      <c r="AE3" s="6" t="s">
        <v>28</v>
      </c>
      <c r="CE3" s="6" t="s">
        <v>44</v>
      </c>
      <c r="DG3" s="6" t="s">
        <v>41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</row>
    <row r="4" spans="1:182" ht="25" customHeight="1" thickBot="1" x14ac:dyDescent="0.4">
      <c r="A4" s="1"/>
      <c r="B4" s="1"/>
      <c r="C4" s="29"/>
      <c r="D4" s="30"/>
      <c r="E4" s="30"/>
      <c r="F4" s="31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  <c r="Y4" s="8"/>
      <c r="Z4" s="8"/>
      <c r="AE4" s="6" t="s">
        <v>29</v>
      </c>
      <c r="CF4" s="6" t="s">
        <v>45</v>
      </c>
      <c r="CI4" s="6" t="s">
        <v>46</v>
      </c>
      <c r="DH4" s="6" t="s">
        <v>16</v>
      </c>
      <c r="DI4" s="6" t="s">
        <v>64</v>
      </c>
      <c r="DU4" s="6" t="s">
        <v>62</v>
      </c>
      <c r="DY4" s="6" t="s">
        <v>30</v>
      </c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</row>
    <row r="5" spans="1:182" ht="25" customHeight="1" x14ac:dyDescent="0.35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7"/>
      <c r="Y5" s="8"/>
      <c r="Z5" s="8"/>
      <c r="AD5" s="6" t="s">
        <v>19</v>
      </c>
      <c r="CF5" s="6" t="s">
        <v>47</v>
      </c>
      <c r="CI5" s="6" t="s">
        <v>48</v>
      </c>
      <c r="DW5" s="36">
        <v>4.0320999999999998</v>
      </c>
      <c r="DX5" s="37"/>
      <c r="DY5" s="37"/>
      <c r="DZ5" s="37"/>
      <c r="EA5" s="37"/>
      <c r="EB5" s="38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</row>
    <row r="6" spans="1:182" ht="25" customHeight="1" x14ac:dyDescent="0.35">
      <c r="A6" s="8"/>
      <c r="B6" s="8"/>
      <c r="D6" s="7"/>
      <c r="E6" s="32" t="s">
        <v>14</v>
      </c>
      <c r="F6" s="33"/>
      <c r="G6" s="33"/>
      <c r="H6" s="33"/>
      <c r="I6" s="33"/>
      <c r="J6" s="34"/>
      <c r="K6" s="7" t="s">
        <v>67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  <c r="AE6" s="6" t="s">
        <v>12</v>
      </c>
      <c r="AI6" s="6" t="s">
        <v>30</v>
      </c>
      <c r="AK6" s="6" t="s">
        <v>31</v>
      </c>
      <c r="AT6" s="6" t="s">
        <v>32</v>
      </c>
      <c r="CF6" s="6" t="s">
        <v>42</v>
      </c>
      <c r="CI6" s="6" t="s">
        <v>49</v>
      </c>
      <c r="DW6" s="39"/>
      <c r="DX6" s="40"/>
      <c r="DY6" s="40"/>
      <c r="DZ6" s="40"/>
      <c r="EA6" s="40"/>
      <c r="EB6" s="4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</row>
    <row r="7" spans="1:182" ht="25" customHeight="1" x14ac:dyDescent="0.35">
      <c r="A7" s="8"/>
      <c r="B7" s="8"/>
      <c r="D7" s="7"/>
      <c r="E7" s="7"/>
      <c r="F7" s="7"/>
      <c r="G7" s="7"/>
      <c r="H7" s="7"/>
      <c r="I7" s="7"/>
      <c r="J7" s="7"/>
      <c r="K7" s="7" t="s">
        <v>13</v>
      </c>
      <c r="L7" s="7" t="s">
        <v>21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15"/>
      <c r="Z7" s="9"/>
      <c r="AE7" s="6" t="s">
        <v>20</v>
      </c>
      <c r="AK7" s="6" t="s">
        <v>33</v>
      </c>
      <c r="CE7" s="6" t="s">
        <v>50</v>
      </c>
      <c r="CI7" s="6" t="s">
        <v>51</v>
      </c>
      <c r="CL7" s="6" t="s">
        <v>43</v>
      </c>
      <c r="CV7" s="6" t="s">
        <v>52</v>
      </c>
      <c r="DH7" s="6" t="s">
        <v>17</v>
      </c>
      <c r="DI7" s="6" t="s">
        <v>63</v>
      </c>
      <c r="DU7" s="6" t="s">
        <v>62</v>
      </c>
      <c r="DY7" s="6" t="s">
        <v>30</v>
      </c>
      <c r="EC7" s="16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</row>
    <row r="8" spans="1:182" ht="25" customHeight="1" x14ac:dyDescent="0.35">
      <c r="A8" s="8"/>
      <c r="B8" s="8"/>
      <c r="D8" s="7"/>
      <c r="E8" s="7"/>
      <c r="F8" s="7"/>
      <c r="G8" s="7"/>
      <c r="H8" s="7"/>
      <c r="I8" s="7"/>
      <c r="J8" s="7"/>
      <c r="K8" s="7"/>
      <c r="L8" s="7" t="s">
        <v>22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DW8" s="36">
        <v>3.1692999999999998</v>
      </c>
      <c r="DX8" s="37"/>
      <c r="DY8" s="37"/>
      <c r="DZ8" s="37"/>
      <c r="EA8" s="37"/>
      <c r="EB8" s="38"/>
      <c r="EC8" s="16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</row>
    <row r="9" spans="1:182" ht="25" customHeight="1" x14ac:dyDescent="0.35">
      <c r="A9" s="8"/>
      <c r="B9" s="8"/>
      <c r="D9" s="7"/>
      <c r="E9" s="7"/>
      <c r="F9" s="7"/>
      <c r="G9" s="7"/>
      <c r="H9" s="7"/>
      <c r="I9" s="7"/>
      <c r="J9" s="7"/>
      <c r="K9" s="7" t="s">
        <v>23</v>
      </c>
      <c r="L9" s="7" t="s">
        <v>24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  <c r="AG9" s="6" t="s">
        <v>34</v>
      </c>
      <c r="AJ9" s="6" t="s">
        <v>35</v>
      </c>
      <c r="CE9" s="6" t="s">
        <v>53</v>
      </c>
      <c r="DW9" s="39"/>
      <c r="DX9" s="40"/>
      <c r="DY9" s="40"/>
      <c r="DZ9" s="40"/>
      <c r="EA9" s="40"/>
      <c r="EB9" s="4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</row>
    <row r="10" spans="1:182" ht="25" customHeight="1" x14ac:dyDescent="0.35">
      <c r="A10" s="8"/>
      <c r="B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  <c r="CE10" s="6" t="s">
        <v>54</v>
      </c>
      <c r="CR10" s="6" t="s">
        <v>55</v>
      </c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</row>
    <row r="11" spans="1:182" ht="25" customHeight="1" x14ac:dyDescent="0.35">
      <c r="A11" s="8"/>
      <c r="B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  <c r="DW11" s="35"/>
      <c r="DX11" s="35"/>
      <c r="DY11" s="35"/>
      <c r="DZ11" s="35"/>
      <c r="EA11" s="35"/>
      <c r="EB11" s="35"/>
      <c r="EC11" s="16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</row>
    <row r="12" spans="1:182" ht="25" customHeight="1" x14ac:dyDescent="0.35">
      <c r="A12" s="8"/>
      <c r="B12" s="8"/>
      <c r="D12" s="7"/>
      <c r="E12" s="7"/>
      <c r="F12" s="7"/>
      <c r="G12" s="7"/>
      <c r="H12" s="7"/>
      <c r="I12" s="7"/>
      <c r="J12" s="7"/>
      <c r="K12" s="7" t="s">
        <v>15</v>
      </c>
      <c r="L12" s="7" t="s">
        <v>25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  <c r="CE12" s="6" t="s">
        <v>56</v>
      </c>
      <c r="CF12" s="6" t="s">
        <v>57</v>
      </c>
      <c r="DW12" s="35"/>
      <c r="DX12" s="35"/>
      <c r="DY12" s="35"/>
      <c r="DZ12" s="35"/>
      <c r="EA12" s="35"/>
      <c r="EB12" s="35"/>
      <c r="EC12" s="16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</row>
    <row r="13" spans="1:182" ht="25" customHeight="1" x14ac:dyDescent="0.35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22"/>
      <c r="U13" s="22"/>
      <c r="V13" s="22"/>
      <c r="W13" s="7"/>
      <c r="X13" s="7"/>
      <c r="Y13" s="7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</row>
    <row r="14" spans="1:182" ht="25" customHeight="1" x14ac:dyDescent="0.35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AX14" s="8"/>
      <c r="DW14" s="35"/>
      <c r="DX14" s="35"/>
      <c r="DY14" s="35"/>
      <c r="DZ14" s="35"/>
      <c r="EA14" s="35"/>
      <c r="EB14" s="35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</row>
    <row r="15" spans="1:182" ht="25" customHeight="1" x14ac:dyDescent="0.35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DW15" s="35"/>
      <c r="DX15" s="35"/>
      <c r="DY15" s="35"/>
      <c r="DZ15" s="35"/>
      <c r="EA15" s="35"/>
      <c r="EB15" s="35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</row>
    <row r="16" spans="1:182" ht="25" customHeight="1" x14ac:dyDescent="0.35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CE16" s="6" t="s">
        <v>58</v>
      </c>
      <c r="CF16" s="6" t="s">
        <v>59</v>
      </c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</row>
    <row r="17" spans="1:182" ht="25" customHeight="1" x14ac:dyDescent="0.35">
      <c r="A17" s="18"/>
      <c r="B17" s="18"/>
      <c r="C17" s="1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CR17" s="19">
        <v>0.15625</v>
      </c>
      <c r="CS17" s="20"/>
      <c r="CT17" s="20"/>
      <c r="CU17" s="20"/>
      <c r="CV17" s="20"/>
      <c r="CW17" s="20"/>
      <c r="CX17" s="21"/>
      <c r="DW17" s="35"/>
      <c r="DX17" s="35"/>
      <c r="DY17" s="35"/>
      <c r="DZ17" s="35"/>
      <c r="EA17" s="35"/>
      <c r="EB17" s="35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</row>
    <row r="18" spans="1:182" ht="25" customHeight="1" x14ac:dyDescent="0.35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CE18" s="6" t="s">
        <v>60</v>
      </c>
      <c r="CM18" s="6" t="s">
        <v>61</v>
      </c>
      <c r="CR18" s="19">
        <f>1-2*CR17</f>
        <v>0.6875</v>
      </c>
      <c r="CS18" s="20"/>
      <c r="CT18" s="20"/>
      <c r="CU18" s="20"/>
      <c r="CV18" s="20"/>
      <c r="CW18" s="20"/>
      <c r="CX18" s="21"/>
      <c r="DW18" s="35"/>
      <c r="DX18" s="35"/>
      <c r="DY18" s="35"/>
      <c r="DZ18" s="35"/>
      <c r="EA18" s="35"/>
      <c r="EB18" s="35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</row>
    <row r="19" spans="1:182" ht="25" customHeight="1" x14ac:dyDescent="0.35"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</row>
    <row r="20" spans="1:182" ht="25" customHeight="1" x14ac:dyDescent="0.35">
      <c r="CC20" s="17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DW20" s="35"/>
      <c r="DX20" s="35"/>
      <c r="DY20" s="35"/>
      <c r="DZ20" s="35"/>
      <c r="EA20" s="35"/>
      <c r="EB20" s="35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</row>
    <row r="21" spans="1:182" ht="25" customHeight="1" x14ac:dyDescent="0.35">
      <c r="E21" s="22"/>
      <c r="F21" s="22"/>
      <c r="G21" s="22"/>
      <c r="H21" s="22"/>
      <c r="I21" s="22"/>
      <c r="J21" s="22"/>
      <c r="AY21" s="16"/>
      <c r="AZ21" s="16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6"/>
      <c r="CZ21" s="16"/>
      <c r="DW21" s="35"/>
      <c r="DX21" s="35"/>
      <c r="DY21" s="35"/>
      <c r="DZ21" s="35"/>
      <c r="EA21" s="35"/>
      <c r="EB21" s="35"/>
      <c r="ED21" s="16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</row>
    <row r="22" spans="1:182" ht="25" customHeight="1" x14ac:dyDescent="0.35">
      <c r="E22" s="22"/>
      <c r="F22" s="22"/>
      <c r="G22" s="22"/>
      <c r="H22" s="22"/>
      <c r="I22" s="22"/>
      <c r="J22" s="22"/>
      <c r="AY22" s="16"/>
      <c r="AZ22" s="16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6"/>
      <c r="CZ22" s="16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6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</row>
    <row r="23" spans="1:182" ht="25" customHeight="1" x14ac:dyDescent="0.35"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</row>
    <row r="24" spans="1:182" ht="25" customHeight="1" x14ac:dyDescent="0.35">
      <c r="CA24" s="18"/>
      <c r="CB24" s="18"/>
      <c r="CC24" s="18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</row>
    <row r="25" spans="1:182" ht="25" customHeight="1" x14ac:dyDescent="0.35">
      <c r="AY25" s="16"/>
      <c r="AZ25" s="16"/>
      <c r="CY25" s="16"/>
      <c r="CZ25" s="16"/>
      <c r="ED25" s="16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</row>
    <row r="26" spans="1:182" ht="25" customHeight="1" x14ac:dyDescent="0.35">
      <c r="AY26" s="16"/>
      <c r="AZ26" s="16"/>
      <c r="CY26" s="16"/>
      <c r="CZ26" s="16"/>
      <c r="ED26" s="16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</row>
    <row r="27" spans="1:182" ht="25" customHeight="1" x14ac:dyDescent="0.35"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</row>
    <row r="28" spans="1:182" ht="25" customHeight="1" x14ac:dyDescent="0.35">
      <c r="AB28" s="6" t="s">
        <v>16</v>
      </c>
      <c r="AC28" s="6" t="s">
        <v>38</v>
      </c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</row>
    <row r="29" spans="1:182" ht="25" customHeight="1" x14ac:dyDescent="0.35">
      <c r="AB29" s="6" t="s">
        <v>36</v>
      </c>
      <c r="AC29" s="6" t="s">
        <v>37</v>
      </c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</row>
    <row r="30" spans="1:182" ht="25" customHeight="1" x14ac:dyDescent="0.35">
      <c r="AB30" s="6" t="s">
        <v>18</v>
      </c>
      <c r="AC30" s="6" t="s">
        <v>39</v>
      </c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</row>
    <row r="31" spans="1:182" ht="25" customHeight="1" x14ac:dyDescent="0.35">
      <c r="AC31" s="6" t="s">
        <v>20</v>
      </c>
      <c r="AI31" s="6" t="s">
        <v>40</v>
      </c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</row>
    <row r="32" spans="1:182" ht="25" customHeight="1" x14ac:dyDescent="0.35"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</row>
    <row r="33" spans="134:182" ht="25" customHeight="1" x14ac:dyDescent="0.35"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</row>
    <row r="34" spans="134:182" ht="25" customHeight="1" x14ac:dyDescent="0.35"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</row>
    <row r="35" spans="134:182" ht="25" customHeight="1" x14ac:dyDescent="0.35"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</row>
    <row r="36" spans="134:182" ht="25" customHeight="1" x14ac:dyDescent="0.35"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</row>
    <row r="37" spans="134:182" ht="25" customHeight="1" x14ac:dyDescent="0.35"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</row>
  </sheetData>
  <mergeCells count="18">
    <mergeCell ref="DE2:DG2"/>
    <mergeCell ref="CR17:CX17"/>
    <mergeCell ref="CR18:CX18"/>
    <mergeCell ref="T13:V13"/>
    <mergeCell ref="CA24:CC24"/>
    <mergeCell ref="E21:J22"/>
    <mergeCell ref="AU2:AY2"/>
    <mergeCell ref="C2:F4"/>
    <mergeCell ref="AA2:AC2"/>
    <mergeCell ref="A17:C17"/>
    <mergeCell ref="E6:J6"/>
    <mergeCell ref="CA2:CC2"/>
    <mergeCell ref="DW17:EB18"/>
    <mergeCell ref="DW20:EB21"/>
    <mergeCell ref="DW5:EB6"/>
    <mergeCell ref="DW8:EB9"/>
    <mergeCell ref="DW11:EB12"/>
    <mergeCell ref="DW14:EB15"/>
  </mergeCells>
  <phoneticPr fontId="2"/>
  <pageMargins left="0.70866141732283472" right="0.86614173228346458" top="0.74803149606299213" bottom="0.74803149606299213" header="0.31496062992125984" footer="0.31496062992125984"/>
  <pageSetup paperSize="9" scale="77" orientation="portrait" r:id="rId1"/>
  <headerFooter>
    <oddHeader>&amp;C&amp;"メイリオ,レギュラー"&amp;16&amp;A&amp;R&amp;"メイリオ,レギュラー"（担当：津村）</oddHeader>
    <oddFooter>&amp;C&amp;"メイリオ,レギュラー"&amp;14&amp;P / &amp;N</oddFooter>
  </headerFooter>
  <colBreaks count="3" manualBreakCount="3">
    <brk id="26" max="36" man="1"/>
    <brk id="78" max="36" man="1"/>
    <brk id="108" max="36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D86"/>
  <sheetViews>
    <sheetView topLeftCell="Y1" workbookViewId="0">
      <selection activeCell="AB1" sqref="AB1"/>
    </sheetView>
  </sheetViews>
  <sheetFormatPr defaultRowHeight="14.5" x14ac:dyDescent="0.35"/>
  <cols>
    <col min="3" max="3" width="12.75" bestFit="1" customWidth="1"/>
    <col min="12" max="12" width="12.75" bestFit="1" customWidth="1"/>
    <col min="14" max="14" width="12.75" bestFit="1" customWidth="1"/>
    <col min="16" max="16" width="12.75" bestFit="1" customWidth="1"/>
    <col min="26" max="26" width="12.75" bestFit="1" customWidth="1"/>
    <col min="27" max="30" width="12.75" customWidth="1"/>
  </cols>
  <sheetData>
    <row r="2" spans="2:30" x14ac:dyDescent="0.35">
      <c r="B2" s="14" t="s">
        <v>2</v>
      </c>
      <c r="C2">
        <v>0</v>
      </c>
      <c r="K2" s="14" t="s">
        <v>2</v>
      </c>
      <c r="L2">
        <v>0</v>
      </c>
      <c r="M2" s="14" t="s">
        <v>2</v>
      </c>
      <c r="N2">
        <v>0</v>
      </c>
      <c r="O2" s="14" t="s">
        <v>2</v>
      </c>
      <c r="P2">
        <v>3</v>
      </c>
      <c r="Y2" s="14" t="s">
        <v>2</v>
      </c>
      <c r="Z2">
        <v>0</v>
      </c>
    </row>
    <row r="3" spans="2:30" x14ac:dyDescent="0.35">
      <c r="B3" s="14" t="s">
        <v>4</v>
      </c>
      <c r="C3">
        <v>1</v>
      </c>
      <c r="K3" s="14" t="s">
        <v>4</v>
      </c>
      <c r="L3">
        <v>1</v>
      </c>
      <c r="M3" s="14" t="s">
        <v>4</v>
      </c>
      <c r="N3">
        <v>2</v>
      </c>
      <c r="O3" s="14" t="s">
        <v>4</v>
      </c>
      <c r="P3">
        <v>1</v>
      </c>
      <c r="Y3" s="14" t="s">
        <v>4</v>
      </c>
      <c r="Z3">
        <v>1</v>
      </c>
    </row>
    <row r="5" spans="2:30" x14ac:dyDescent="0.35">
      <c r="B5" s="14" t="s">
        <v>1</v>
      </c>
      <c r="C5" s="14" t="s">
        <v>3</v>
      </c>
      <c r="K5" s="14" t="s">
        <v>1</v>
      </c>
      <c r="L5" s="14" t="s">
        <v>3</v>
      </c>
      <c r="M5" s="14" t="s">
        <v>10</v>
      </c>
      <c r="N5" s="14" t="s">
        <v>9</v>
      </c>
      <c r="O5" s="14" t="s">
        <v>5</v>
      </c>
      <c r="P5" s="14" t="s">
        <v>11</v>
      </c>
      <c r="Y5" s="14" t="s">
        <v>1</v>
      </c>
      <c r="Z5" s="14" t="s">
        <v>3</v>
      </c>
      <c r="AA5" s="14" t="s">
        <v>5</v>
      </c>
      <c r="AB5" s="14" t="s">
        <v>6</v>
      </c>
      <c r="AC5" s="14" t="s">
        <v>7</v>
      </c>
      <c r="AD5" s="14" t="s">
        <v>8</v>
      </c>
    </row>
    <row r="6" spans="2:30" x14ac:dyDescent="0.35">
      <c r="B6">
        <v>-4</v>
      </c>
      <c r="C6">
        <f>_xlfn.NORM.DIST(B6,C$2,C$3,FALSE)</f>
        <v>1.3383022576488537E-4</v>
      </c>
      <c r="K6">
        <v>-4</v>
      </c>
      <c r="L6">
        <f>_xlfn.NORM.DIST(K6,L$2,L$3,FALSE)</f>
        <v>1.3383022576488537E-4</v>
      </c>
      <c r="M6">
        <v>-8</v>
      </c>
      <c r="N6">
        <f>_xlfn.NORM.DIST(M6,N$2,N$3,FALSE)</f>
        <v>6.6915112882442684E-5</v>
      </c>
      <c r="O6">
        <v>-2</v>
      </c>
      <c r="P6">
        <f>_xlfn.NORM.DIST(O6,P$2,P$3,FALSE)</f>
        <v>1.4867195147342977E-6</v>
      </c>
      <c r="Y6">
        <v>-4</v>
      </c>
      <c r="Z6">
        <f>_xlfn.NORM.DIST(Y6,Z$2,Z$3,FALSE)</f>
        <v>1.3383022576488537E-4</v>
      </c>
      <c r="AA6">
        <v>-4</v>
      </c>
      <c r="AB6">
        <f>_xlfn.NORM.DIST(AA6,Z$2,Z$3,FALSE)</f>
        <v>1.3383022576488537E-4</v>
      </c>
      <c r="AC6">
        <v>2</v>
      </c>
      <c r="AD6">
        <f>_xlfn.NORM.DIST(AC6,Z$2,Z$3,FALSE)</f>
        <v>5.3990966513188063E-2</v>
      </c>
    </row>
    <row r="7" spans="2:30" x14ac:dyDescent="0.35">
      <c r="B7">
        <f>B6+0.1</f>
        <v>-3.9</v>
      </c>
      <c r="C7">
        <f>_xlfn.NORM.DIST(B7,C$2,C$3,FALSE)</f>
        <v>1.9865547139277272E-4</v>
      </c>
      <c r="K7">
        <f>K6+0.1</f>
        <v>-3.9</v>
      </c>
      <c r="L7">
        <f>_xlfn.NORM.DIST(K7,L$2,L$3,FALSE)</f>
        <v>1.9865547139277272E-4</v>
      </c>
      <c r="M7">
        <f t="shared" ref="M7:M71" si="0">M6+0.2</f>
        <v>-7.8</v>
      </c>
      <c r="N7">
        <f>_xlfn.NORM.DIST(M7,N$2,N$3,FALSE)</f>
        <v>9.9327735696386359E-5</v>
      </c>
      <c r="O7">
        <f>O6+0.1</f>
        <v>-1.9</v>
      </c>
      <c r="P7">
        <f>_xlfn.NORM.DIST(O7,P$2,P$3,FALSE)</f>
        <v>2.4389607458933522E-6</v>
      </c>
      <c r="Y7">
        <f>Y6+0.1</f>
        <v>-3.9</v>
      </c>
      <c r="Z7">
        <f>_xlfn.NORM.DIST(Y7,Z$2,Z$3,FALSE)</f>
        <v>1.9865547139277272E-4</v>
      </c>
      <c r="AA7">
        <f>AA6+0.1</f>
        <v>-3.9</v>
      </c>
      <c r="AB7">
        <f>_xlfn.NORM.DIST(AA7,Z$2,Z$3,FALSE)</f>
        <v>1.9865547139277272E-4</v>
      </c>
      <c r="AC7">
        <f>AC6+0.1</f>
        <v>2.1</v>
      </c>
      <c r="AD7">
        <f>_xlfn.NORM.DIST(AC7,Z$2,Z$3,FALSE)</f>
        <v>4.3983595980427191E-2</v>
      </c>
    </row>
    <row r="8" spans="2:30" x14ac:dyDescent="0.35">
      <c r="B8">
        <f t="shared" ref="B8:B71" si="1">B7+0.1</f>
        <v>-3.8</v>
      </c>
      <c r="C8">
        <f t="shared" ref="C8:C71" si="2">_xlfn.NORM.DIST(B8,C$2,C$3,FALSE)</f>
        <v>2.9194692579146027E-4</v>
      </c>
      <c r="K8">
        <f t="shared" ref="K8:K71" si="3">K7+0.1</f>
        <v>-3.8</v>
      </c>
      <c r="L8">
        <f t="shared" ref="L8:N71" si="4">_xlfn.NORM.DIST(K8,L$2,L$3,FALSE)</f>
        <v>2.9194692579146027E-4</v>
      </c>
      <c r="M8">
        <f t="shared" si="0"/>
        <v>-7.6</v>
      </c>
      <c r="N8">
        <f t="shared" si="4"/>
        <v>1.4597346289573014E-4</v>
      </c>
      <c r="O8">
        <f t="shared" ref="O8:O71" si="5">O7+0.1</f>
        <v>-1.7999999999999998</v>
      </c>
      <c r="P8">
        <f t="shared" ref="P8:P71" si="6">_xlfn.NORM.DIST(O8,P$2,P$3,FALSE)</f>
        <v>3.9612990910320753E-6</v>
      </c>
      <c r="Y8">
        <f t="shared" ref="Y8:Y71" si="7">Y7+0.1</f>
        <v>-3.8</v>
      </c>
      <c r="Z8">
        <f t="shared" ref="Z8:Z71" si="8">_xlfn.NORM.DIST(Y8,Z$2,Z$3,FALSE)</f>
        <v>2.9194692579146027E-4</v>
      </c>
      <c r="AA8">
        <f t="shared" ref="AA8:AA26" si="9">AA7+0.1</f>
        <v>-3.8</v>
      </c>
      <c r="AB8">
        <f t="shared" ref="AB8:AB26" si="10">_xlfn.NORM.DIST(AA8,Z$2,Z$3,FALSE)</f>
        <v>2.9194692579146027E-4</v>
      </c>
      <c r="AC8">
        <f t="shared" ref="AC8:AC26" si="11">AC7+0.1</f>
        <v>2.2000000000000002</v>
      </c>
      <c r="AD8">
        <f t="shared" ref="AD8:AD26" si="12">_xlfn.NORM.DIST(AC8,Z$2,Z$3,FALSE)</f>
        <v>3.5474592846231424E-2</v>
      </c>
    </row>
    <row r="9" spans="2:30" x14ac:dyDescent="0.35">
      <c r="B9">
        <f t="shared" si="1"/>
        <v>-3.6999999999999997</v>
      </c>
      <c r="C9">
        <f t="shared" si="2"/>
        <v>4.2478027055075219E-4</v>
      </c>
      <c r="K9">
        <f t="shared" si="3"/>
        <v>-3.6999999999999997</v>
      </c>
      <c r="L9">
        <f t="shared" si="4"/>
        <v>4.2478027055075219E-4</v>
      </c>
      <c r="M9">
        <f t="shared" si="0"/>
        <v>-7.3999999999999995</v>
      </c>
      <c r="N9">
        <f t="shared" si="4"/>
        <v>2.123901352753761E-4</v>
      </c>
      <c r="O9">
        <f t="shared" si="5"/>
        <v>-1.6999999999999997</v>
      </c>
      <c r="P9">
        <f t="shared" si="6"/>
        <v>6.3698251788671238E-6</v>
      </c>
      <c r="Y9">
        <f t="shared" si="7"/>
        <v>-3.6999999999999997</v>
      </c>
      <c r="Z9">
        <f t="shared" si="8"/>
        <v>4.2478027055075219E-4</v>
      </c>
      <c r="AA9">
        <f t="shared" si="9"/>
        <v>-3.6999999999999997</v>
      </c>
      <c r="AB9">
        <f t="shared" si="10"/>
        <v>4.2478027055075219E-4</v>
      </c>
      <c r="AC9">
        <f t="shared" si="11"/>
        <v>2.3000000000000003</v>
      </c>
      <c r="AD9">
        <f t="shared" si="12"/>
        <v>2.8327037741601158E-2</v>
      </c>
    </row>
    <row r="10" spans="2:30" x14ac:dyDescent="0.35">
      <c r="B10">
        <f t="shared" si="1"/>
        <v>-3.5999999999999996</v>
      </c>
      <c r="C10">
        <f t="shared" si="2"/>
        <v>6.1190193011377298E-4</v>
      </c>
      <c r="K10">
        <f t="shared" si="3"/>
        <v>-3.5999999999999996</v>
      </c>
      <c r="L10">
        <f t="shared" si="4"/>
        <v>6.1190193011377298E-4</v>
      </c>
      <c r="M10">
        <f t="shared" si="0"/>
        <v>-7.1999999999999993</v>
      </c>
      <c r="N10">
        <f t="shared" si="4"/>
        <v>3.0595096505688649E-4</v>
      </c>
      <c r="O10">
        <f t="shared" si="5"/>
        <v>-1.5999999999999996</v>
      </c>
      <c r="P10">
        <f t="shared" si="6"/>
        <v>1.0140852065486758E-5</v>
      </c>
      <c r="Y10">
        <f t="shared" si="7"/>
        <v>-3.5999999999999996</v>
      </c>
      <c r="Z10">
        <f t="shared" si="8"/>
        <v>6.1190193011377298E-4</v>
      </c>
      <c r="AA10">
        <f t="shared" si="9"/>
        <v>-3.5999999999999996</v>
      </c>
      <c r="AB10">
        <f t="shared" si="10"/>
        <v>6.1190193011377298E-4</v>
      </c>
      <c r="AC10">
        <f t="shared" si="11"/>
        <v>2.4000000000000004</v>
      </c>
      <c r="AD10">
        <f t="shared" si="12"/>
        <v>2.2394530294842882E-2</v>
      </c>
    </row>
    <row r="11" spans="2:30" x14ac:dyDescent="0.35">
      <c r="B11">
        <f t="shared" si="1"/>
        <v>-3.4999999999999996</v>
      </c>
      <c r="C11">
        <f t="shared" si="2"/>
        <v>8.7268269504576167E-4</v>
      </c>
      <c r="K11">
        <f t="shared" si="3"/>
        <v>-3.4999999999999996</v>
      </c>
      <c r="L11">
        <f t="shared" si="4"/>
        <v>8.7268269504576167E-4</v>
      </c>
      <c r="M11">
        <f t="shared" si="0"/>
        <v>-6.9999999999999991</v>
      </c>
      <c r="N11">
        <f t="shared" si="4"/>
        <v>4.3634134752288084E-4</v>
      </c>
      <c r="O11">
        <f t="shared" si="5"/>
        <v>-1.4999999999999996</v>
      </c>
      <c r="P11">
        <f t="shared" si="6"/>
        <v>1.5983741106905475E-5</v>
      </c>
      <c r="Y11">
        <f t="shared" si="7"/>
        <v>-3.4999999999999996</v>
      </c>
      <c r="Z11">
        <f t="shared" si="8"/>
        <v>8.7268269504576167E-4</v>
      </c>
      <c r="AA11">
        <f t="shared" si="9"/>
        <v>-3.4999999999999996</v>
      </c>
      <c r="AB11">
        <f t="shared" si="10"/>
        <v>8.7268269504576167E-4</v>
      </c>
      <c r="AC11">
        <f t="shared" si="11"/>
        <v>2.5000000000000004</v>
      </c>
      <c r="AD11">
        <f t="shared" si="12"/>
        <v>1.7528300493568523E-2</v>
      </c>
    </row>
    <row r="12" spans="2:30" x14ac:dyDescent="0.35">
      <c r="B12">
        <f t="shared" si="1"/>
        <v>-3.3999999999999995</v>
      </c>
      <c r="C12">
        <f t="shared" si="2"/>
        <v>1.232219168473021E-3</v>
      </c>
      <c r="K12">
        <f t="shared" si="3"/>
        <v>-3.3999999999999995</v>
      </c>
      <c r="L12">
        <f t="shared" si="4"/>
        <v>1.232219168473021E-3</v>
      </c>
      <c r="M12">
        <f t="shared" si="0"/>
        <v>-6.7999999999999989</v>
      </c>
      <c r="N12">
        <f t="shared" si="4"/>
        <v>6.1610958423651051E-4</v>
      </c>
      <c r="O12">
        <f t="shared" si="5"/>
        <v>-1.3999999999999995</v>
      </c>
      <c r="P12">
        <f t="shared" si="6"/>
        <v>2.494247129005362E-5</v>
      </c>
      <c r="Y12">
        <f t="shared" si="7"/>
        <v>-3.3999999999999995</v>
      </c>
      <c r="Z12">
        <f t="shared" si="8"/>
        <v>1.232219168473021E-3</v>
      </c>
      <c r="AA12">
        <f t="shared" si="9"/>
        <v>-3.3999999999999995</v>
      </c>
      <c r="AB12">
        <f t="shared" si="10"/>
        <v>1.232219168473021E-3</v>
      </c>
      <c r="AC12">
        <f t="shared" si="11"/>
        <v>2.6000000000000005</v>
      </c>
      <c r="AD12">
        <f t="shared" si="12"/>
        <v>1.3582969233685602E-2</v>
      </c>
    </row>
    <row r="13" spans="2:30" x14ac:dyDescent="0.35">
      <c r="B13">
        <f t="shared" si="1"/>
        <v>-3.2999999999999994</v>
      </c>
      <c r="C13">
        <f t="shared" si="2"/>
        <v>1.7225689390536843E-3</v>
      </c>
      <c r="K13">
        <f t="shared" si="3"/>
        <v>-3.2999999999999994</v>
      </c>
      <c r="L13">
        <f t="shared" si="4"/>
        <v>1.7225689390536843E-3</v>
      </c>
      <c r="M13">
        <f t="shared" si="0"/>
        <v>-6.5999999999999988</v>
      </c>
      <c r="N13">
        <f t="shared" si="4"/>
        <v>8.6128446952684213E-4</v>
      </c>
      <c r="O13">
        <f t="shared" si="5"/>
        <v>-1.2999999999999994</v>
      </c>
      <c r="P13">
        <f t="shared" si="6"/>
        <v>3.8535196742087265E-5</v>
      </c>
      <c r="Y13">
        <f t="shared" si="7"/>
        <v>-3.2999999999999994</v>
      </c>
      <c r="Z13">
        <f t="shared" si="8"/>
        <v>1.7225689390536843E-3</v>
      </c>
      <c r="AA13">
        <f t="shared" si="9"/>
        <v>-3.2999999999999994</v>
      </c>
      <c r="AB13">
        <f t="shared" si="10"/>
        <v>1.7225689390536843E-3</v>
      </c>
      <c r="AC13">
        <f t="shared" si="11"/>
        <v>2.7000000000000006</v>
      </c>
      <c r="AD13">
        <f t="shared" si="12"/>
        <v>1.0420934814422578E-2</v>
      </c>
    </row>
    <row r="14" spans="2:30" x14ac:dyDescent="0.35">
      <c r="B14">
        <f t="shared" si="1"/>
        <v>-3.1999999999999993</v>
      </c>
      <c r="C14">
        <f t="shared" si="2"/>
        <v>2.3840882014648486E-3</v>
      </c>
      <c r="K14">
        <f t="shared" si="3"/>
        <v>-3.1999999999999993</v>
      </c>
      <c r="L14">
        <f t="shared" si="4"/>
        <v>2.3840882014648486E-3</v>
      </c>
      <c r="M14">
        <f t="shared" si="0"/>
        <v>-6.3999999999999986</v>
      </c>
      <c r="N14">
        <f t="shared" si="4"/>
        <v>1.1920441007324243E-3</v>
      </c>
      <c r="O14">
        <f t="shared" si="5"/>
        <v>-1.1999999999999993</v>
      </c>
      <c r="P14">
        <f t="shared" si="6"/>
        <v>5.8943067756540058E-5</v>
      </c>
      <c r="Y14">
        <f t="shared" si="7"/>
        <v>-3.1999999999999993</v>
      </c>
      <c r="Z14">
        <f t="shared" si="8"/>
        <v>2.3840882014648486E-3</v>
      </c>
      <c r="AA14">
        <f t="shared" si="9"/>
        <v>-3.1999999999999993</v>
      </c>
      <c r="AB14">
        <f t="shared" si="10"/>
        <v>2.3840882014648486E-3</v>
      </c>
      <c r="AC14">
        <f t="shared" si="11"/>
        <v>2.8000000000000007</v>
      </c>
      <c r="AD14">
        <f t="shared" si="12"/>
        <v>7.915451582979946E-3</v>
      </c>
    </row>
    <row r="15" spans="2:30" x14ac:dyDescent="0.35">
      <c r="B15">
        <f t="shared" si="1"/>
        <v>-3.0999999999999992</v>
      </c>
      <c r="C15">
        <f t="shared" si="2"/>
        <v>3.2668190561999273E-3</v>
      </c>
      <c r="K15">
        <f t="shared" si="3"/>
        <v>-3.0999999999999992</v>
      </c>
      <c r="L15">
        <f t="shared" si="4"/>
        <v>3.2668190561999273E-3</v>
      </c>
      <c r="M15">
        <f t="shared" si="0"/>
        <v>-6.1999999999999984</v>
      </c>
      <c r="N15">
        <f t="shared" si="4"/>
        <v>1.6334095280999637E-3</v>
      </c>
      <c r="O15">
        <f t="shared" si="5"/>
        <v>-1.0999999999999992</v>
      </c>
      <c r="P15">
        <f t="shared" si="6"/>
        <v>8.9261657177132928E-5</v>
      </c>
      <c r="Y15">
        <f t="shared" si="7"/>
        <v>-3.0999999999999992</v>
      </c>
      <c r="Z15">
        <f t="shared" si="8"/>
        <v>3.2668190561999273E-3</v>
      </c>
      <c r="AA15">
        <f t="shared" si="9"/>
        <v>-3.0999999999999992</v>
      </c>
      <c r="AB15">
        <f t="shared" si="10"/>
        <v>3.2668190561999273E-3</v>
      </c>
      <c r="AC15">
        <f t="shared" si="11"/>
        <v>2.9000000000000008</v>
      </c>
      <c r="AD15">
        <f t="shared" si="12"/>
        <v>5.9525324197758382E-3</v>
      </c>
    </row>
    <row r="16" spans="2:30" x14ac:dyDescent="0.35">
      <c r="B16">
        <f t="shared" si="1"/>
        <v>-2.9999999999999991</v>
      </c>
      <c r="C16">
        <f t="shared" si="2"/>
        <v>4.4318484119380188E-3</v>
      </c>
      <c r="K16">
        <f t="shared" si="3"/>
        <v>-2.9999999999999991</v>
      </c>
      <c r="L16">
        <f t="shared" si="4"/>
        <v>4.4318484119380188E-3</v>
      </c>
      <c r="M16">
        <f t="shared" si="0"/>
        <v>-5.9999999999999982</v>
      </c>
      <c r="N16">
        <f t="shared" si="4"/>
        <v>2.2159242059690094E-3</v>
      </c>
      <c r="O16">
        <f t="shared" si="5"/>
        <v>-0.99999999999999922</v>
      </c>
      <c r="P16">
        <f t="shared" si="6"/>
        <v>1.3383022576488583E-4</v>
      </c>
      <c r="Y16">
        <f t="shared" si="7"/>
        <v>-2.9999999999999991</v>
      </c>
      <c r="Z16">
        <f t="shared" si="8"/>
        <v>4.4318484119380188E-3</v>
      </c>
      <c r="AA16">
        <f t="shared" si="9"/>
        <v>-2.9999999999999991</v>
      </c>
      <c r="AB16">
        <f t="shared" si="10"/>
        <v>4.4318484119380188E-3</v>
      </c>
      <c r="AC16">
        <f t="shared" si="11"/>
        <v>3.0000000000000009</v>
      </c>
      <c r="AD16">
        <f t="shared" si="12"/>
        <v>4.4318484119379954E-3</v>
      </c>
    </row>
    <row r="17" spans="2:30" x14ac:dyDescent="0.35">
      <c r="B17">
        <f t="shared" si="1"/>
        <v>-2.899999999999999</v>
      </c>
      <c r="C17">
        <f t="shared" si="2"/>
        <v>5.9525324197758694E-3</v>
      </c>
      <c r="K17">
        <f t="shared" si="3"/>
        <v>-2.899999999999999</v>
      </c>
      <c r="L17">
        <f t="shared" si="4"/>
        <v>5.9525324197758694E-3</v>
      </c>
      <c r="M17">
        <f t="shared" si="0"/>
        <v>-5.799999999999998</v>
      </c>
      <c r="N17">
        <f t="shared" si="4"/>
        <v>2.9762662098879347E-3</v>
      </c>
      <c r="O17">
        <f t="shared" si="5"/>
        <v>-0.89999999999999925</v>
      </c>
      <c r="P17">
        <f t="shared" si="6"/>
        <v>1.9865547139277307E-4</v>
      </c>
      <c r="Y17">
        <f t="shared" si="7"/>
        <v>-2.899999999999999</v>
      </c>
      <c r="Z17">
        <f t="shared" si="8"/>
        <v>5.9525324197758694E-3</v>
      </c>
      <c r="AA17">
        <f t="shared" si="9"/>
        <v>-2.899999999999999</v>
      </c>
      <c r="AB17">
        <f t="shared" si="10"/>
        <v>5.9525324197758694E-3</v>
      </c>
      <c r="AC17">
        <f t="shared" si="11"/>
        <v>3.100000000000001</v>
      </c>
      <c r="AD17">
        <f t="shared" si="12"/>
        <v>3.26681905619991E-3</v>
      </c>
    </row>
    <row r="18" spans="2:30" x14ac:dyDescent="0.35">
      <c r="B18">
        <f t="shared" si="1"/>
        <v>-2.7999999999999989</v>
      </c>
      <c r="C18">
        <f t="shared" si="2"/>
        <v>7.9154515829799894E-3</v>
      </c>
      <c r="K18">
        <f t="shared" si="3"/>
        <v>-2.7999999999999989</v>
      </c>
      <c r="L18">
        <f t="shared" si="4"/>
        <v>7.9154515829799894E-3</v>
      </c>
      <c r="M18">
        <f t="shared" si="0"/>
        <v>-5.5999999999999979</v>
      </c>
      <c r="N18">
        <f t="shared" si="4"/>
        <v>3.9577257914899947E-3</v>
      </c>
      <c r="O18">
        <f t="shared" si="5"/>
        <v>-0.79999999999999927</v>
      </c>
      <c r="P18">
        <f t="shared" si="6"/>
        <v>2.9194692579146081E-4</v>
      </c>
      <c r="Y18">
        <f t="shared" si="7"/>
        <v>-2.7999999999999989</v>
      </c>
      <c r="Z18">
        <f t="shared" si="8"/>
        <v>7.9154515829799894E-3</v>
      </c>
      <c r="AA18">
        <f t="shared" si="9"/>
        <v>-2.7999999999999989</v>
      </c>
      <c r="AB18">
        <f t="shared" si="10"/>
        <v>7.9154515829799894E-3</v>
      </c>
      <c r="AC18">
        <f t="shared" si="11"/>
        <v>3.2000000000000011</v>
      </c>
      <c r="AD18">
        <f t="shared" si="12"/>
        <v>2.3840882014648343E-3</v>
      </c>
    </row>
    <row r="19" spans="2:30" x14ac:dyDescent="0.35">
      <c r="B19">
        <f t="shared" si="1"/>
        <v>-2.6999999999999988</v>
      </c>
      <c r="C19">
        <f t="shared" si="2"/>
        <v>1.0420934814422628E-2</v>
      </c>
      <c r="K19">
        <f t="shared" si="3"/>
        <v>-2.6999999999999988</v>
      </c>
      <c r="L19">
        <f t="shared" si="4"/>
        <v>1.0420934814422628E-2</v>
      </c>
      <c r="M19">
        <f t="shared" si="0"/>
        <v>-5.3999999999999977</v>
      </c>
      <c r="N19">
        <f t="shared" si="4"/>
        <v>5.210467407211314E-3</v>
      </c>
      <c r="O19">
        <f t="shared" si="5"/>
        <v>-0.69999999999999929</v>
      </c>
      <c r="P19">
        <f t="shared" si="6"/>
        <v>4.247802705507529E-4</v>
      </c>
      <c r="Y19">
        <f t="shared" si="7"/>
        <v>-2.6999999999999988</v>
      </c>
      <c r="Z19">
        <f t="shared" si="8"/>
        <v>1.0420934814422628E-2</v>
      </c>
      <c r="AA19">
        <f t="shared" si="9"/>
        <v>-2.6999999999999988</v>
      </c>
      <c r="AB19">
        <f t="shared" si="10"/>
        <v>1.0420934814422628E-2</v>
      </c>
      <c r="AC19">
        <f t="shared" si="11"/>
        <v>3.3000000000000012</v>
      </c>
      <c r="AD19">
        <f t="shared" si="12"/>
        <v>1.7225689390536734E-3</v>
      </c>
    </row>
    <row r="20" spans="2:30" x14ac:dyDescent="0.35">
      <c r="B20">
        <f t="shared" si="1"/>
        <v>-2.5999999999999988</v>
      </c>
      <c r="C20">
        <f t="shared" si="2"/>
        <v>1.3582969233685661E-2</v>
      </c>
      <c r="K20">
        <f t="shared" si="3"/>
        <v>-2.5999999999999988</v>
      </c>
      <c r="L20">
        <f t="shared" si="4"/>
        <v>1.3582969233685661E-2</v>
      </c>
      <c r="M20">
        <f t="shared" si="0"/>
        <v>-5.1999999999999975</v>
      </c>
      <c r="N20">
        <f t="shared" si="4"/>
        <v>6.7914846168428307E-3</v>
      </c>
      <c r="O20">
        <f t="shared" si="5"/>
        <v>-0.59999999999999931</v>
      </c>
      <c r="P20">
        <f t="shared" si="6"/>
        <v>6.1190193011377407E-4</v>
      </c>
      <c r="Y20">
        <f t="shared" si="7"/>
        <v>-2.5999999999999988</v>
      </c>
      <c r="Z20">
        <f t="shared" si="8"/>
        <v>1.3582969233685661E-2</v>
      </c>
      <c r="AA20">
        <f t="shared" si="9"/>
        <v>-2.5999999999999988</v>
      </c>
      <c r="AB20">
        <f t="shared" si="10"/>
        <v>1.3582969233685661E-2</v>
      </c>
      <c r="AC20">
        <f t="shared" si="11"/>
        <v>3.4000000000000012</v>
      </c>
      <c r="AD20">
        <f t="shared" si="12"/>
        <v>1.2322191684730143E-3</v>
      </c>
    </row>
    <row r="21" spans="2:30" x14ac:dyDescent="0.35">
      <c r="B21">
        <f t="shared" si="1"/>
        <v>-2.4999999999999987</v>
      </c>
      <c r="C21">
        <f t="shared" si="2"/>
        <v>1.7528300493568599E-2</v>
      </c>
      <c r="K21">
        <f t="shared" si="3"/>
        <v>-2.4999999999999987</v>
      </c>
      <c r="L21">
        <f t="shared" si="4"/>
        <v>1.7528300493568599E-2</v>
      </c>
      <c r="M21">
        <f t="shared" si="0"/>
        <v>-4.9999999999999973</v>
      </c>
      <c r="N21">
        <f t="shared" si="4"/>
        <v>8.7641502467842997E-3</v>
      </c>
      <c r="O21">
        <f t="shared" si="5"/>
        <v>-0.49999999999999933</v>
      </c>
      <c r="P21">
        <f t="shared" si="6"/>
        <v>8.7268269504576319E-4</v>
      </c>
      <c r="Y21">
        <f t="shared" si="7"/>
        <v>-2.4999999999999987</v>
      </c>
      <c r="Z21">
        <f t="shared" si="8"/>
        <v>1.7528300493568599E-2</v>
      </c>
      <c r="AA21">
        <f t="shared" si="9"/>
        <v>-2.4999999999999987</v>
      </c>
      <c r="AB21">
        <f t="shared" si="10"/>
        <v>1.7528300493568599E-2</v>
      </c>
      <c r="AC21">
        <f t="shared" si="11"/>
        <v>3.5000000000000013</v>
      </c>
      <c r="AD21">
        <f t="shared" si="12"/>
        <v>8.7268269504575625E-4</v>
      </c>
    </row>
    <row r="22" spans="2:30" x14ac:dyDescent="0.35">
      <c r="B22">
        <f t="shared" si="1"/>
        <v>-2.3999999999999986</v>
      </c>
      <c r="C22">
        <f t="shared" si="2"/>
        <v>2.2394530294842969E-2</v>
      </c>
      <c r="K22">
        <f t="shared" si="3"/>
        <v>-2.3999999999999986</v>
      </c>
      <c r="L22">
        <f t="shared" si="4"/>
        <v>2.2394530294842969E-2</v>
      </c>
      <c r="M22">
        <f t="shared" si="0"/>
        <v>-4.7999999999999972</v>
      </c>
      <c r="N22">
        <f t="shared" si="4"/>
        <v>1.1197265147421484E-2</v>
      </c>
      <c r="O22">
        <f t="shared" si="5"/>
        <v>-0.39999999999999936</v>
      </c>
      <c r="P22">
        <f t="shared" si="6"/>
        <v>1.232219168473021E-3</v>
      </c>
      <c r="Y22">
        <f t="shared" si="7"/>
        <v>-2.3999999999999986</v>
      </c>
      <c r="Z22">
        <f t="shared" si="8"/>
        <v>2.2394530294842969E-2</v>
      </c>
      <c r="AA22">
        <f t="shared" si="9"/>
        <v>-2.3999999999999986</v>
      </c>
      <c r="AB22">
        <f t="shared" si="10"/>
        <v>2.2394530294842969E-2</v>
      </c>
      <c r="AC22">
        <f t="shared" si="11"/>
        <v>3.6000000000000014</v>
      </c>
      <c r="AD22">
        <f t="shared" si="12"/>
        <v>6.1190193011376919E-4</v>
      </c>
    </row>
    <row r="23" spans="2:30" x14ac:dyDescent="0.35">
      <c r="B23">
        <f t="shared" si="1"/>
        <v>-2.2999999999999985</v>
      </c>
      <c r="C23">
        <f t="shared" si="2"/>
        <v>2.8327037741601276E-2</v>
      </c>
      <c r="K23">
        <f t="shared" si="3"/>
        <v>-2.2999999999999985</v>
      </c>
      <c r="L23">
        <f t="shared" si="4"/>
        <v>2.8327037741601276E-2</v>
      </c>
      <c r="M23">
        <f t="shared" si="0"/>
        <v>-4.599999999999997</v>
      </c>
      <c r="N23">
        <f t="shared" si="4"/>
        <v>1.4163518870800638E-2</v>
      </c>
      <c r="O23">
        <f t="shared" si="5"/>
        <v>-0.29999999999999938</v>
      </c>
      <c r="P23">
        <f t="shared" si="6"/>
        <v>1.7225689390536843E-3</v>
      </c>
      <c r="Y23">
        <f t="shared" si="7"/>
        <v>-2.2999999999999985</v>
      </c>
      <c r="Z23">
        <f t="shared" si="8"/>
        <v>2.8327037741601276E-2</v>
      </c>
      <c r="AA23">
        <f t="shared" si="9"/>
        <v>-2.2999999999999985</v>
      </c>
      <c r="AB23">
        <f t="shared" si="10"/>
        <v>2.8327037741601276E-2</v>
      </c>
      <c r="AC23">
        <f t="shared" si="11"/>
        <v>3.7000000000000015</v>
      </c>
      <c r="AD23">
        <f t="shared" si="12"/>
        <v>4.2478027055074921E-4</v>
      </c>
    </row>
    <row r="24" spans="2:30" x14ac:dyDescent="0.35">
      <c r="B24">
        <f t="shared" si="1"/>
        <v>-2.1999999999999984</v>
      </c>
      <c r="C24">
        <f t="shared" si="2"/>
        <v>3.547459284623157E-2</v>
      </c>
      <c r="K24">
        <f t="shared" si="3"/>
        <v>-2.1999999999999984</v>
      </c>
      <c r="L24">
        <f t="shared" si="4"/>
        <v>3.547459284623157E-2</v>
      </c>
      <c r="M24">
        <f t="shared" si="0"/>
        <v>-4.3999999999999968</v>
      </c>
      <c r="N24">
        <f t="shared" si="4"/>
        <v>1.7737296423115785E-2</v>
      </c>
      <c r="O24">
        <f t="shared" si="5"/>
        <v>-0.19999999999999937</v>
      </c>
      <c r="P24">
        <f t="shared" si="6"/>
        <v>2.3840882014648486E-3</v>
      </c>
      <c r="Y24">
        <f t="shared" si="7"/>
        <v>-2.1999999999999984</v>
      </c>
      <c r="Z24">
        <f t="shared" si="8"/>
        <v>3.547459284623157E-2</v>
      </c>
      <c r="AA24">
        <f t="shared" si="9"/>
        <v>-2.1999999999999984</v>
      </c>
      <c r="AB24">
        <f t="shared" si="10"/>
        <v>3.547459284623157E-2</v>
      </c>
      <c r="AC24">
        <f t="shared" si="11"/>
        <v>3.8000000000000016</v>
      </c>
      <c r="AD24">
        <f t="shared" si="12"/>
        <v>2.9194692579145848E-4</v>
      </c>
    </row>
    <row r="25" spans="2:30" x14ac:dyDescent="0.35">
      <c r="B25">
        <f t="shared" si="1"/>
        <v>-2.0999999999999983</v>
      </c>
      <c r="C25">
        <f t="shared" si="2"/>
        <v>4.3983595980427351E-2</v>
      </c>
      <c r="K25">
        <f t="shared" si="3"/>
        <v>-2.0999999999999983</v>
      </c>
      <c r="L25">
        <f t="shared" si="4"/>
        <v>4.3983595980427351E-2</v>
      </c>
      <c r="M25">
        <f t="shared" si="0"/>
        <v>-4.1999999999999966</v>
      </c>
      <c r="N25">
        <f t="shared" si="4"/>
        <v>2.1991797990213675E-2</v>
      </c>
      <c r="O25">
        <f t="shared" si="5"/>
        <v>-9.9999999999999367E-2</v>
      </c>
      <c r="P25">
        <f t="shared" si="6"/>
        <v>3.2668190561999273E-3</v>
      </c>
      <c r="Y25">
        <f t="shared" si="7"/>
        <v>-2.0999999999999983</v>
      </c>
      <c r="Z25">
        <f t="shared" si="8"/>
        <v>4.3983595980427351E-2</v>
      </c>
      <c r="AA25">
        <f t="shared" si="9"/>
        <v>-2.0999999999999983</v>
      </c>
      <c r="AB25">
        <f t="shared" si="10"/>
        <v>4.3983595980427351E-2</v>
      </c>
      <c r="AC25">
        <f t="shared" si="11"/>
        <v>3.9000000000000017</v>
      </c>
      <c r="AD25">
        <f t="shared" si="12"/>
        <v>1.9865547139277128E-4</v>
      </c>
    </row>
    <row r="26" spans="2:30" x14ac:dyDescent="0.35">
      <c r="B26">
        <f t="shared" si="1"/>
        <v>-1.9999999999999982</v>
      </c>
      <c r="C26">
        <f t="shared" si="2"/>
        <v>5.399096651318825E-2</v>
      </c>
      <c r="K26">
        <f t="shared" si="3"/>
        <v>-1.9999999999999982</v>
      </c>
      <c r="L26">
        <f t="shared" si="4"/>
        <v>5.399096651318825E-2</v>
      </c>
      <c r="M26">
        <f t="shared" si="0"/>
        <v>-3.9999999999999964</v>
      </c>
      <c r="N26">
        <f t="shared" si="4"/>
        <v>2.6995483256594125E-2</v>
      </c>
      <c r="O26">
        <f t="shared" si="5"/>
        <v>6.3837823915946501E-16</v>
      </c>
      <c r="P26">
        <f t="shared" si="6"/>
        <v>4.4318484119380153E-3</v>
      </c>
      <c r="Y26">
        <f t="shared" si="7"/>
        <v>-1.9999999999999982</v>
      </c>
      <c r="Z26">
        <f t="shared" si="8"/>
        <v>5.399096651318825E-2</v>
      </c>
      <c r="AA26">
        <f t="shared" si="9"/>
        <v>-1.9999999999999982</v>
      </c>
      <c r="AB26">
        <f t="shared" si="10"/>
        <v>5.399096651318825E-2</v>
      </c>
      <c r="AC26">
        <f t="shared" si="11"/>
        <v>4.0000000000000018</v>
      </c>
      <c r="AD26">
        <f t="shared" si="12"/>
        <v>1.3383022576488442E-4</v>
      </c>
    </row>
    <row r="27" spans="2:30" x14ac:dyDescent="0.35">
      <c r="B27">
        <f t="shared" si="1"/>
        <v>-1.8999999999999981</v>
      </c>
      <c r="C27">
        <f t="shared" si="2"/>
        <v>6.5615814774676831E-2</v>
      </c>
      <c r="K27">
        <f t="shared" si="3"/>
        <v>-1.8999999999999981</v>
      </c>
      <c r="L27">
        <f t="shared" si="4"/>
        <v>6.5615814774676831E-2</v>
      </c>
      <c r="M27">
        <f t="shared" si="0"/>
        <v>-3.7999999999999963</v>
      </c>
      <c r="N27">
        <f t="shared" si="4"/>
        <v>3.2807907387338416E-2</v>
      </c>
      <c r="O27">
        <f t="shared" si="5"/>
        <v>0.10000000000000064</v>
      </c>
      <c r="P27">
        <f t="shared" si="6"/>
        <v>5.9525324197758642E-3</v>
      </c>
      <c r="Y27">
        <f t="shared" si="7"/>
        <v>-1.8999999999999981</v>
      </c>
      <c r="Z27">
        <f t="shared" si="8"/>
        <v>6.5615814774676831E-2</v>
      </c>
    </row>
    <row r="28" spans="2:30" x14ac:dyDescent="0.35">
      <c r="B28">
        <f t="shared" si="1"/>
        <v>-1.799999999999998</v>
      </c>
      <c r="C28">
        <f t="shared" si="2"/>
        <v>7.8950158300894427E-2</v>
      </c>
      <c r="K28">
        <f t="shared" si="3"/>
        <v>-1.799999999999998</v>
      </c>
      <c r="L28">
        <f t="shared" si="4"/>
        <v>7.8950158300894427E-2</v>
      </c>
      <c r="M28">
        <f t="shared" si="0"/>
        <v>-3.5999999999999961</v>
      </c>
      <c r="N28">
        <f t="shared" si="4"/>
        <v>3.9475079150447213E-2</v>
      </c>
      <c r="O28">
        <f t="shared" si="5"/>
        <v>0.20000000000000065</v>
      </c>
      <c r="P28">
        <f t="shared" si="6"/>
        <v>7.9154515829799772E-3</v>
      </c>
      <c r="Y28">
        <f t="shared" si="7"/>
        <v>-1.799999999999998</v>
      </c>
      <c r="Z28">
        <f t="shared" si="8"/>
        <v>7.8950158300894427E-2</v>
      </c>
    </row>
    <row r="29" spans="2:30" x14ac:dyDescent="0.35">
      <c r="B29">
        <f t="shared" si="1"/>
        <v>-1.699999999999998</v>
      </c>
      <c r="C29">
        <f t="shared" si="2"/>
        <v>9.4049077376887252E-2</v>
      </c>
      <c r="K29">
        <f t="shared" si="3"/>
        <v>-1.699999999999998</v>
      </c>
      <c r="L29">
        <f t="shared" si="4"/>
        <v>9.4049077376887252E-2</v>
      </c>
      <c r="M29">
        <f t="shared" si="0"/>
        <v>-3.3999999999999959</v>
      </c>
      <c r="N29">
        <f t="shared" si="4"/>
        <v>4.7024538688443626E-2</v>
      </c>
      <c r="O29">
        <f t="shared" si="5"/>
        <v>0.30000000000000066</v>
      </c>
      <c r="P29">
        <f t="shared" si="6"/>
        <v>1.0420934814422614E-2</v>
      </c>
      <c r="Y29">
        <f t="shared" si="7"/>
        <v>-1.699999999999998</v>
      </c>
      <c r="Z29">
        <f t="shared" si="8"/>
        <v>9.4049077376887252E-2</v>
      </c>
    </row>
    <row r="30" spans="2:30" x14ac:dyDescent="0.35">
      <c r="B30">
        <f t="shared" si="1"/>
        <v>-1.5999999999999979</v>
      </c>
      <c r="C30">
        <f t="shared" si="2"/>
        <v>0.11092083467945592</v>
      </c>
      <c r="K30">
        <f t="shared" si="3"/>
        <v>-1.5999999999999979</v>
      </c>
      <c r="L30">
        <f t="shared" si="4"/>
        <v>0.11092083467945592</v>
      </c>
      <c r="M30">
        <f t="shared" si="0"/>
        <v>-3.1999999999999957</v>
      </c>
      <c r="N30">
        <f t="shared" si="4"/>
        <v>5.5460417339727959E-2</v>
      </c>
      <c r="O30">
        <f t="shared" si="5"/>
        <v>0.40000000000000069</v>
      </c>
      <c r="P30">
        <f t="shared" si="6"/>
        <v>1.3582969233685644E-2</v>
      </c>
      <c r="Y30">
        <f t="shared" si="7"/>
        <v>-1.5999999999999979</v>
      </c>
      <c r="Z30">
        <f t="shared" si="8"/>
        <v>0.11092083467945592</v>
      </c>
    </row>
    <row r="31" spans="2:30" x14ac:dyDescent="0.35">
      <c r="B31">
        <f t="shared" si="1"/>
        <v>-1.4999999999999978</v>
      </c>
      <c r="C31">
        <f t="shared" si="2"/>
        <v>0.12951759566589216</v>
      </c>
      <c r="K31">
        <f t="shared" si="3"/>
        <v>-1.4999999999999978</v>
      </c>
      <c r="L31">
        <f t="shared" si="4"/>
        <v>0.12951759566589216</v>
      </c>
      <c r="M31">
        <f t="shared" si="0"/>
        <v>-2.9999999999999956</v>
      </c>
      <c r="N31">
        <f t="shared" si="4"/>
        <v>6.475879783294608E-2</v>
      </c>
      <c r="O31">
        <f t="shared" si="5"/>
        <v>0.50000000000000067</v>
      </c>
      <c r="P31">
        <f t="shared" si="6"/>
        <v>1.7528300493568578E-2</v>
      </c>
      <c r="Y31">
        <f t="shared" si="7"/>
        <v>-1.4999999999999978</v>
      </c>
      <c r="Z31">
        <f t="shared" si="8"/>
        <v>0.12951759566589216</v>
      </c>
    </row>
    <row r="32" spans="2:30" x14ac:dyDescent="0.35">
      <c r="B32">
        <f t="shared" si="1"/>
        <v>-1.3999999999999977</v>
      </c>
      <c r="C32">
        <f t="shared" si="2"/>
        <v>0.14972746563574535</v>
      </c>
      <c r="K32">
        <f t="shared" si="3"/>
        <v>-1.3999999999999977</v>
      </c>
      <c r="L32">
        <f t="shared" si="4"/>
        <v>0.14972746563574535</v>
      </c>
      <c r="M32">
        <f t="shared" si="0"/>
        <v>-2.7999999999999954</v>
      </c>
      <c r="N32">
        <f t="shared" si="4"/>
        <v>7.4863732817872675E-2</v>
      </c>
      <c r="O32">
        <f t="shared" si="5"/>
        <v>0.60000000000000064</v>
      </c>
      <c r="P32">
        <f t="shared" si="6"/>
        <v>2.2394530294842931E-2</v>
      </c>
      <c r="Y32">
        <f t="shared" si="7"/>
        <v>-1.3999999999999977</v>
      </c>
      <c r="Z32">
        <f t="shared" si="8"/>
        <v>0.14972746563574535</v>
      </c>
    </row>
    <row r="33" spans="2:26" x14ac:dyDescent="0.35">
      <c r="B33">
        <f t="shared" si="1"/>
        <v>-1.2999999999999976</v>
      </c>
      <c r="C33">
        <f t="shared" si="2"/>
        <v>0.17136859204780791</v>
      </c>
      <c r="K33">
        <f t="shared" si="3"/>
        <v>-1.2999999999999976</v>
      </c>
      <c r="L33">
        <f t="shared" si="4"/>
        <v>0.17136859204780791</v>
      </c>
      <c r="M33">
        <f t="shared" si="0"/>
        <v>-2.5999999999999952</v>
      </c>
      <c r="N33">
        <f t="shared" si="4"/>
        <v>8.5684296023903955E-2</v>
      </c>
      <c r="O33">
        <f t="shared" si="5"/>
        <v>0.70000000000000062</v>
      </c>
      <c r="P33">
        <f t="shared" si="6"/>
        <v>2.832703774160121E-2</v>
      </c>
      <c r="Y33">
        <f t="shared" si="7"/>
        <v>-1.2999999999999976</v>
      </c>
      <c r="Z33">
        <f t="shared" si="8"/>
        <v>0.17136859204780791</v>
      </c>
    </row>
    <row r="34" spans="2:26" x14ac:dyDescent="0.35">
      <c r="B34">
        <f t="shared" si="1"/>
        <v>-1.1999999999999975</v>
      </c>
      <c r="C34">
        <f t="shared" si="2"/>
        <v>0.19418605498321354</v>
      </c>
      <c r="K34">
        <f t="shared" si="3"/>
        <v>-1.1999999999999975</v>
      </c>
      <c r="L34">
        <f t="shared" si="4"/>
        <v>0.19418605498321354</v>
      </c>
      <c r="M34">
        <f t="shared" si="0"/>
        <v>-2.399999999999995</v>
      </c>
      <c r="N34">
        <f t="shared" si="4"/>
        <v>9.7093027491606768E-2</v>
      </c>
      <c r="O34">
        <f t="shared" si="5"/>
        <v>0.8000000000000006</v>
      </c>
      <c r="P34">
        <f t="shared" si="6"/>
        <v>3.5474592846231487E-2</v>
      </c>
      <c r="Y34">
        <f t="shared" si="7"/>
        <v>-1.1999999999999975</v>
      </c>
      <c r="Z34">
        <f t="shared" si="8"/>
        <v>0.19418605498321354</v>
      </c>
    </row>
    <row r="35" spans="2:26" x14ac:dyDescent="0.35">
      <c r="B35">
        <f t="shared" si="1"/>
        <v>-1.0999999999999974</v>
      </c>
      <c r="C35">
        <f t="shared" si="2"/>
        <v>0.21785217703255116</v>
      </c>
      <c r="K35">
        <f t="shared" si="3"/>
        <v>-1.0999999999999974</v>
      </c>
      <c r="L35">
        <f t="shared" si="4"/>
        <v>0.21785217703255116</v>
      </c>
      <c r="M35">
        <f t="shared" si="0"/>
        <v>-2.1999999999999948</v>
      </c>
      <c r="N35">
        <f t="shared" si="4"/>
        <v>0.10892608851627558</v>
      </c>
      <c r="O35">
        <f t="shared" si="5"/>
        <v>0.90000000000000058</v>
      </c>
      <c r="P35">
        <f t="shared" si="6"/>
        <v>4.3983595980427233E-2</v>
      </c>
      <c r="Y35">
        <f t="shared" si="7"/>
        <v>-1.0999999999999974</v>
      </c>
      <c r="Z35">
        <f t="shared" si="8"/>
        <v>0.21785217703255116</v>
      </c>
    </row>
    <row r="36" spans="2:26" x14ac:dyDescent="0.35">
      <c r="B36">
        <f t="shared" si="1"/>
        <v>-0.99999999999999745</v>
      </c>
      <c r="C36">
        <f t="shared" si="2"/>
        <v>0.24197072451914398</v>
      </c>
      <c r="K36">
        <f t="shared" si="3"/>
        <v>-0.99999999999999745</v>
      </c>
      <c r="L36">
        <f t="shared" si="4"/>
        <v>0.24197072451914398</v>
      </c>
      <c r="M36">
        <f t="shared" si="0"/>
        <v>-1.9999999999999949</v>
      </c>
      <c r="N36">
        <f t="shared" si="4"/>
        <v>0.12098536225957199</v>
      </c>
      <c r="O36">
        <f t="shared" si="5"/>
        <v>1.0000000000000007</v>
      </c>
      <c r="P36">
        <f t="shared" si="6"/>
        <v>5.3990966513188125E-2</v>
      </c>
      <c r="Y36">
        <f t="shared" si="7"/>
        <v>-0.99999999999999745</v>
      </c>
      <c r="Z36">
        <f t="shared" si="8"/>
        <v>0.24197072451914398</v>
      </c>
    </row>
    <row r="37" spans="2:26" x14ac:dyDescent="0.35">
      <c r="B37">
        <f t="shared" si="1"/>
        <v>-0.89999999999999747</v>
      </c>
      <c r="C37">
        <f t="shared" si="2"/>
        <v>0.26608524989875543</v>
      </c>
      <c r="K37">
        <f t="shared" si="3"/>
        <v>-0.89999999999999747</v>
      </c>
      <c r="L37">
        <f t="shared" si="4"/>
        <v>0.26608524989875543</v>
      </c>
      <c r="M37">
        <f t="shared" si="0"/>
        <v>-1.7999999999999949</v>
      </c>
      <c r="N37">
        <f t="shared" si="4"/>
        <v>0.13304262494937771</v>
      </c>
      <c r="O37">
        <f t="shared" si="5"/>
        <v>1.1000000000000008</v>
      </c>
      <c r="P37">
        <f t="shared" si="6"/>
        <v>6.5615814774676678E-2</v>
      </c>
      <c r="Y37">
        <f t="shared" si="7"/>
        <v>-0.89999999999999747</v>
      </c>
      <c r="Z37">
        <f t="shared" si="8"/>
        <v>0.26608524989875543</v>
      </c>
    </row>
    <row r="38" spans="2:26" x14ac:dyDescent="0.35">
      <c r="B38">
        <f t="shared" si="1"/>
        <v>-0.79999999999999749</v>
      </c>
      <c r="C38">
        <f t="shared" si="2"/>
        <v>0.28969155276148334</v>
      </c>
      <c r="K38">
        <f t="shared" si="3"/>
        <v>-0.79999999999999749</v>
      </c>
      <c r="L38">
        <f t="shared" si="4"/>
        <v>0.28969155276148334</v>
      </c>
      <c r="M38">
        <f t="shared" si="0"/>
        <v>-1.599999999999995</v>
      </c>
      <c r="N38">
        <f t="shared" si="4"/>
        <v>0.14484577638074167</v>
      </c>
      <c r="O38">
        <f t="shared" si="5"/>
        <v>1.2000000000000008</v>
      </c>
      <c r="P38">
        <f t="shared" si="6"/>
        <v>7.8950158300894274E-2</v>
      </c>
      <c r="Y38">
        <f t="shared" si="7"/>
        <v>-0.79999999999999749</v>
      </c>
      <c r="Z38">
        <f t="shared" si="8"/>
        <v>0.28969155276148334</v>
      </c>
    </row>
    <row r="39" spans="2:26" x14ac:dyDescent="0.35">
      <c r="B39">
        <f t="shared" si="1"/>
        <v>-0.69999999999999751</v>
      </c>
      <c r="C39">
        <f t="shared" si="2"/>
        <v>0.31225393336676183</v>
      </c>
      <c r="K39">
        <f t="shared" si="3"/>
        <v>-0.69999999999999751</v>
      </c>
      <c r="L39">
        <f t="shared" si="4"/>
        <v>0.31225393336676183</v>
      </c>
      <c r="M39">
        <f t="shared" si="0"/>
        <v>-1.399999999999995</v>
      </c>
      <c r="N39">
        <f t="shared" si="4"/>
        <v>0.15612696668338091</v>
      </c>
      <c r="O39">
        <f t="shared" si="5"/>
        <v>1.3000000000000009</v>
      </c>
      <c r="P39">
        <f t="shared" si="6"/>
        <v>9.4049077376887072E-2</v>
      </c>
      <c r="Y39">
        <f t="shared" si="7"/>
        <v>-0.69999999999999751</v>
      </c>
      <c r="Z39">
        <f t="shared" si="8"/>
        <v>0.31225393336676183</v>
      </c>
    </row>
    <row r="40" spans="2:26" x14ac:dyDescent="0.35">
      <c r="B40">
        <f t="shared" si="1"/>
        <v>-0.59999999999999754</v>
      </c>
      <c r="C40">
        <f t="shared" si="2"/>
        <v>0.33322460289180011</v>
      </c>
      <c r="K40">
        <f t="shared" si="3"/>
        <v>-0.59999999999999754</v>
      </c>
      <c r="L40">
        <f t="shared" si="4"/>
        <v>0.33322460289180011</v>
      </c>
      <c r="M40">
        <f t="shared" si="0"/>
        <v>-1.1999999999999951</v>
      </c>
      <c r="N40">
        <f t="shared" si="4"/>
        <v>0.16661230144590006</v>
      </c>
      <c r="O40">
        <f t="shared" si="5"/>
        <v>1.400000000000001</v>
      </c>
      <c r="P40">
        <f t="shared" si="6"/>
        <v>0.11092083467945574</v>
      </c>
      <c r="Y40">
        <f t="shared" si="7"/>
        <v>-0.59999999999999754</v>
      </c>
      <c r="Z40">
        <f t="shared" si="8"/>
        <v>0.33322460289180011</v>
      </c>
    </row>
    <row r="41" spans="2:26" x14ac:dyDescent="0.35">
      <c r="B41">
        <f t="shared" si="1"/>
        <v>-0.49999999999999756</v>
      </c>
      <c r="C41">
        <f t="shared" si="2"/>
        <v>0.35206532676429991</v>
      </c>
      <c r="K41">
        <f t="shared" si="3"/>
        <v>-0.49999999999999756</v>
      </c>
      <c r="L41">
        <f t="shared" si="4"/>
        <v>0.35206532676429991</v>
      </c>
      <c r="M41">
        <f t="shared" si="0"/>
        <v>-0.99999999999999512</v>
      </c>
      <c r="N41">
        <f t="shared" si="4"/>
        <v>0.17603266338214996</v>
      </c>
      <c r="O41">
        <f t="shared" si="5"/>
        <v>1.5000000000000011</v>
      </c>
      <c r="P41">
        <f t="shared" si="6"/>
        <v>0.12951759566589197</v>
      </c>
      <c r="Y41">
        <f t="shared" si="7"/>
        <v>-0.49999999999999756</v>
      </c>
      <c r="Z41">
        <f t="shared" si="8"/>
        <v>0.35206532676429991</v>
      </c>
    </row>
    <row r="42" spans="2:26" x14ac:dyDescent="0.35">
      <c r="B42">
        <f t="shared" si="1"/>
        <v>-0.39999999999999758</v>
      </c>
      <c r="C42">
        <f t="shared" si="2"/>
        <v>0.36827014030332367</v>
      </c>
      <c r="K42">
        <f t="shared" si="3"/>
        <v>-0.39999999999999758</v>
      </c>
      <c r="L42">
        <f t="shared" si="4"/>
        <v>0.36827014030332367</v>
      </c>
      <c r="M42">
        <f t="shared" si="0"/>
        <v>-0.79999999999999516</v>
      </c>
      <c r="N42">
        <f t="shared" si="4"/>
        <v>0.18413507015166183</v>
      </c>
      <c r="O42">
        <f t="shared" si="5"/>
        <v>1.6000000000000012</v>
      </c>
      <c r="P42">
        <f t="shared" si="6"/>
        <v>0.14972746563574513</v>
      </c>
      <c r="Y42">
        <f t="shared" si="7"/>
        <v>-0.39999999999999758</v>
      </c>
      <c r="Z42">
        <f t="shared" si="8"/>
        <v>0.36827014030332367</v>
      </c>
    </row>
    <row r="43" spans="2:26" x14ac:dyDescent="0.35">
      <c r="B43">
        <f t="shared" si="1"/>
        <v>-0.2999999999999976</v>
      </c>
      <c r="C43">
        <f t="shared" si="2"/>
        <v>0.38138781546052442</v>
      </c>
      <c r="K43">
        <f t="shared" si="3"/>
        <v>-0.2999999999999976</v>
      </c>
      <c r="L43">
        <f t="shared" si="4"/>
        <v>0.38138781546052442</v>
      </c>
      <c r="M43">
        <f t="shared" si="0"/>
        <v>-0.5999999999999952</v>
      </c>
      <c r="N43">
        <f t="shared" si="4"/>
        <v>0.19069390773026221</v>
      </c>
      <c r="O43">
        <f t="shared" si="5"/>
        <v>1.7000000000000013</v>
      </c>
      <c r="P43">
        <f t="shared" si="6"/>
        <v>0.17136859204780766</v>
      </c>
      <c r="Y43">
        <f t="shared" si="7"/>
        <v>-0.2999999999999976</v>
      </c>
      <c r="Z43">
        <f t="shared" si="8"/>
        <v>0.38138781546052442</v>
      </c>
    </row>
    <row r="44" spans="2:26" x14ac:dyDescent="0.35">
      <c r="B44">
        <f t="shared" si="1"/>
        <v>-0.1999999999999976</v>
      </c>
      <c r="C44">
        <f t="shared" si="2"/>
        <v>0.3910426939754561</v>
      </c>
      <c r="K44">
        <f t="shared" si="3"/>
        <v>-0.1999999999999976</v>
      </c>
      <c r="L44">
        <f t="shared" si="4"/>
        <v>0.3910426939754561</v>
      </c>
      <c r="M44">
        <f t="shared" si="0"/>
        <v>-0.39999999999999519</v>
      </c>
      <c r="N44">
        <f t="shared" si="4"/>
        <v>0.19552134698772805</v>
      </c>
      <c r="O44">
        <f t="shared" si="5"/>
        <v>1.8000000000000014</v>
      </c>
      <c r="P44">
        <f t="shared" si="6"/>
        <v>0.19418605498321329</v>
      </c>
      <c r="Y44">
        <f t="shared" si="7"/>
        <v>-0.1999999999999976</v>
      </c>
      <c r="Z44">
        <f t="shared" si="8"/>
        <v>0.3910426939754561</v>
      </c>
    </row>
    <row r="45" spans="2:26" x14ac:dyDescent="0.35">
      <c r="B45">
        <f t="shared" si="1"/>
        <v>-9.9999999999997591E-2</v>
      </c>
      <c r="C45">
        <f t="shared" si="2"/>
        <v>0.39695254747701186</v>
      </c>
      <c r="K45">
        <f t="shared" si="3"/>
        <v>-9.9999999999997591E-2</v>
      </c>
      <c r="L45">
        <f t="shared" si="4"/>
        <v>0.39695254747701186</v>
      </c>
      <c r="M45">
        <f t="shared" si="0"/>
        <v>-0.19999999999999518</v>
      </c>
      <c r="N45">
        <f t="shared" si="4"/>
        <v>0.19847627373850593</v>
      </c>
      <c r="O45">
        <f t="shared" si="5"/>
        <v>1.9000000000000015</v>
      </c>
      <c r="P45">
        <f t="shared" si="6"/>
        <v>0.21785217703255089</v>
      </c>
      <c r="Y45">
        <f t="shared" si="7"/>
        <v>-9.9999999999997591E-2</v>
      </c>
      <c r="Z45">
        <f t="shared" si="8"/>
        <v>0.39695254747701186</v>
      </c>
    </row>
    <row r="46" spans="2:26" x14ac:dyDescent="0.35">
      <c r="B46">
        <f t="shared" si="1"/>
        <v>2.4147350785597155E-15</v>
      </c>
      <c r="C46">
        <f t="shared" si="2"/>
        <v>0.3989422804014327</v>
      </c>
      <c r="K46">
        <f t="shared" si="3"/>
        <v>2.4147350785597155E-15</v>
      </c>
      <c r="L46">
        <f t="shared" si="4"/>
        <v>0.3989422804014327</v>
      </c>
      <c r="M46">
        <f t="shared" si="0"/>
        <v>4.829470157119431E-15</v>
      </c>
      <c r="N46">
        <f t="shared" si="4"/>
        <v>0.19947114020071635</v>
      </c>
      <c r="O46">
        <f t="shared" si="5"/>
        <v>2.0000000000000013</v>
      </c>
      <c r="P46">
        <f t="shared" si="6"/>
        <v>0.24197072451914367</v>
      </c>
      <c r="Y46">
        <f t="shared" si="7"/>
        <v>2.4147350785597155E-15</v>
      </c>
      <c r="Z46">
        <f t="shared" si="8"/>
        <v>0.3989422804014327</v>
      </c>
    </row>
    <row r="47" spans="2:26" x14ac:dyDescent="0.35">
      <c r="B47">
        <f t="shared" si="1"/>
        <v>0.10000000000000242</v>
      </c>
      <c r="C47">
        <f t="shared" si="2"/>
        <v>0.3969525474770117</v>
      </c>
      <c r="K47">
        <f t="shared" si="3"/>
        <v>0.10000000000000242</v>
      </c>
      <c r="L47">
        <f t="shared" si="4"/>
        <v>0.3969525474770117</v>
      </c>
      <c r="M47">
        <f t="shared" si="0"/>
        <v>0.20000000000000484</v>
      </c>
      <c r="N47">
        <f t="shared" si="4"/>
        <v>0.19847627373850585</v>
      </c>
      <c r="O47">
        <f t="shared" si="5"/>
        <v>2.1000000000000014</v>
      </c>
      <c r="P47">
        <f t="shared" si="6"/>
        <v>0.26608524989875521</v>
      </c>
      <c r="Y47">
        <f t="shared" si="7"/>
        <v>0.10000000000000242</v>
      </c>
      <c r="Z47">
        <f t="shared" si="8"/>
        <v>0.3969525474770117</v>
      </c>
    </row>
    <row r="48" spans="2:26" x14ac:dyDescent="0.35">
      <c r="B48">
        <f t="shared" si="1"/>
        <v>0.20000000000000243</v>
      </c>
      <c r="C48">
        <f t="shared" si="2"/>
        <v>0.39104269397545571</v>
      </c>
      <c r="K48">
        <f t="shared" si="3"/>
        <v>0.20000000000000243</v>
      </c>
      <c r="L48">
        <f t="shared" si="4"/>
        <v>0.39104269397545571</v>
      </c>
      <c r="M48">
        <f t="shared" si="0"/>
        <v>0.40000000000000485</v>
      </c>
      <c r="N48">
        <f t="shared" si="4"/>
        <v>0.19552134698772786</v>
      </c>
      <c r="O48">
        <f t="shared" si="5"/>
        <v>2.2000000000000015</v>
      </c>
      <c r="P48">
        <f t="shared" si="6"/>
        <v>0.28969155276148312</v>
      </c>
      <c r="Y48">
        <f t="shared" si="7"/>
        <v>0.20000000000000243</v>
      </c>
      <c r="Z48">
        <f t="shared" si="8"/>
        <v>0.39104269397545571</v>
      </c>
    </row>
    <row r="49" spans="2:26" x14ac:dyDescent="0.35">
      <c r="B49">
        <f t="shared" si="1"/>
        <v>0.30000000000000243</v>
      </c>
      <c r="C49">
        <f t="shared" si="2"/>
        <v>0.3813878154605238</v>
      </c>
      <c r="K49">
        <f t="shared" si="3"/>
        <v>0.30000000000000243</v>
      </c>
      <c r="L49">
        <f t="shared" si="4"/>
        <v>0.3813878154605238</v>
      </c>
      <c r="M49">
        <f t="shared" si="0"/>
        <v>0.60000000000000486</v>
      </c>
      <c r="N49">
        <f t="shared" si="4"/>
        <v>0.1906939077302619</v>
      </c>
      <c r="O49">
        <f t="shared" si="5"/>
        <v>2.3000000000000016</v>
      </c>
      <c r="P49">
        <f t="shared" si="6"/>
        <v>0.3122539333667616</v>
      </c>
      <c r="Y49">
        <f t="shared" si="7"/>
        <v>0.30000000000000243</v>
      </c>
      <c r="Z49">
        <f t="shared" si="8"/>
        <v>0.3813878154605238</v>
      </c>
    </row>
    <row r="50" spans="2:26" x14ac:dyDescent="0.35">
      <c r="B50">
        <f t="shared" si="1"/>
        <v>0.40000000000000246</v>
      </c>
      <c r="C50">
        <f t="shared" si="2"/>
        <v>0.36827014030332295</v>
      </c>
      <c r="K50">
        <f t="shared" si="3"/>
        <v>0.40000000000000246</v>
      </c>
      <c r="L50">
        <f t="shared" si="4"/>
        <v>0.36827014030332295</v>
      </c>
      <c r="M50">
        <f t="shared" si="0"/>
        <v>0.80000000000000493</v>
      </c>
      <c r="N50">
        <f t="shared" si="4"/>
        <v>0.18413507015166147</v>
      </c>
      <c r="O50">
        <f t="shared" si="5"/>
        <v>2.4000000000000017</v>
      </c>
      <c r="P50">
        <f t="shared" si="6"/>
        <v>0.3332246028918</v>
      </c>
      <c r="Y50">
        <f t="shared" si="7"/>
        <v>0.40000000000000246</v>
      </c>
      <c r="Z50">
        <f t="shared" si="8"/>
        <v>0.36827014030332295</v>
      </c>
    </row>
    <row r="51" spans="2:26" x14ac:dyDescent="0.35">
      <c r="B51">
        <f t="shared" si="1"/>
        <v>0.50000000000000244</v>
      </c>
      <c r="C51">
        <f t="shared" si="2"/>
        <v>0.35206532676429908</v>
      </c>
      <c r="K51">
        <f t="shared" si="3"/>
        <v>0.50000000000000244</v>
      </c>
      <c r="L51">
        <f t="shared" si="4"/>
        <v>0.35206532676429908</v>
      </c>
      <c r="M51">
        <f t="shared" si="0"/>
        <v>1.0000000000000049</v>
      </c>
      <c r="N51">
        <f t="shared" si="4"/>
        <v>0.17603266338214954</v>
      </c>
      <c r="O51">
        <f t="shared" si="5"/>
        <v>2.5000000000000018</v>
      </c>
      <c r="P51">
        <f t="shared" si="6"/>
        <v>0.35206532676429986</v>
      </c>
      <c r="Y51">
        <f t="shared" si="7"/>
        <v>0.50000000000000244</v>
      </c>
      <c r="Z51">
        <f t="shared" si="8"/>
        <v>0.35206532676429908</v>
      </c>
    </row>
    <row r="52" spans="2:26" x14ac:dyDescent="0.35">
      <c r="B52">
        <f t="shared" si="1"/>
        <v>0.60000000000000242</v>
      </c>
      <c r="C52">
        <f t="shared" si="2"/>
        <v>0.33322460289179917</v>
      </c>
      <c r="K52">
        <f t="shared" si="3"/>
        <v>0.60000000000000242</v>
      </c>
      <c r="L52">
        <f t="shared" si="4"/>
        <v>0.33322460289179917</v>
      </c>
      <c r="M52">
        <f t="shared" si="0"/>
        <v>1.2000000000000048</v>
      </c>
      <c r="N52">
        <f t="shared" si="4"/>
        <v>0.16661230144589959</v>
      </c>
      <c r="O52">
        <f t="shared" si="5"/>
        <v>2.6000000000000019</v>
      </c>
      <c r="P52">
        <f t="shared" si="6"/>
        <v>0.36827014030332361</v>
      </c>
      <c r="Y52">
        <f t="shared" si="7"/>
        <v>0.60000000000000242</v>
      </c>
      <c r="Z52">
        <f t="shared" si="8"/>
        <v>0.33322460289179917</v>
      </c>
    </row>
    <row r="53" spans="2:26" x14ac:dyDescent="0.35">
      <c r="B53">
        <f t="shared" si="1"/>
        <v>0.7000000000000024</v>
      </c>
      <c r="C53">
        <f t="shared" si="2"/>
        <v>0.31225393336676072</v>
      </c>
      <c r="K53">
        <f t="shared" si="3"/>
        <v>0.7000000000000024</v>
      </c>
      <c r="L53">
        <f t="shared" si="4"/>
        <v>0.31225393336676072</v>
      </c>
      <c r="M53">
        <f t="shared" si="0"/>
        <v>1.4000000000000048</v>
      </c>
      <c r="N53">
        <f t="shared" si="4"/>
        <v>0.15612696668338036</v>
      </c>
      <c r="O53">
        <f t="shared" si="5"/>
        <v>2.700000000000002</v>
      </c>
      <c r="P53">
        <f t="shared" si="6"/>
        <v>0.38138781546052436</v>
      </c>
      <c r="Y53">
        <f t="shared" si="7"/>
        <v>0.7000000000000024</v>
      </c>
      <c r="Z53">
        <f t="shared" si="8"/>
        <v>0.31225393336676072</v>
      </c>
    </row>
    <row r="54" spans="2:26" x14ac:dyDescent="0.35">
      <c r="B54">
        <f t="shared" si="1"/>
        <v>0.80000000000000238</v>
      </c>
      <c r="C54">
        <f t="shared" si="2"/>
        <v>0.28969155276148217</v>
      </c>
      <c r="K54">
        <f t="shared" si="3"/>
        <v>0.80000000000000238</v>
      </c>
      <c r="L54">
        <f t="shared" si="4"/>
        <v>0.28969155276148217</v>
      </c>
      <c r="M54">
        <f t="shared" si="0"/>
        <v>1.6000000000000048</v>
      </c>
      <c r="N54">
        <f t="shared" si="4"/>
        <v>0.14484577638074109</v>
      </c>
      <c r="O54">
        <f t="shared" si="5"/>
        <v>2.800000000000002</v>
      </c>
      <c r="P54">
        <f t="shared" si="6"/>
        <v>0.39104269397545605</v>
      </c>
      <c r="Y54">
        <f t="shared" si="7"/>
        <v>0.80000000000000238</v>
      </c>
      <c r="Z54">
        <f t="shared" si="8"/>
        <v>0.28969155276148217</v>
      </c>
    </row>
    <row r="55" spans="2:26" x14ac:dyDescent="0.35">
      <c r="B55">
        <f t="shared" si="1"/>
        <v>0.90000000000000235</v>
      </c>
      <c r="C55">
        <f t="shared" si="2"/>
        <v>0.26608524989875426</v>
      </c>
      <c r="K55">
        <f t="shared" si="3"/>
        <v>0.90000000000000235</v>
      </c>
      <c r="L55">
        <f t="shared" si="4"/>
        <v>0.26608524989875426</v>
      </c>
      <c r="M55">
        <f t="shared" si="0"/>
        <v>1.8000000000000047</v>
      </c>
      <c r="N55">
        <f t="shared" si="4"/>
        <v>0.13304262494937713</v>
      </c>
      <c r="O55">
        <f t="shared" si="5"/>
        <v>2.9000000000000021</v>
      </c>
      <c r="P55">
        <f t="shared" si="6"/>
        <v>0.39695254747701186</v>
      </c>
      <c r="Y55">
        <f t="shared" si="7"/>
        <v>0.90000000000000235</v>
      </c>
      <c r="Z55">
        <f t="shared" si="8"/>
        <v>0.26608524989875426</v>
      </c>
    </row>
    <row r="56" spans="2:26" x14ac:dyDescent="0.35">
      <c r="B56">
        <f t="shared" si="1"/>
        <v>1.0000000000000024</v>
      </c>
      <c r="C56">
        <f t="shared" si="2"/>
        <v>0.24197072451914278</v>
      </c>
      <c r="K56">
        <f t="shared" si="3"/>
        <v>1.0000000000000024</v>
      </c>
      <c r="L56">
        <f t="shared" si="4"/>
        <v>0.24197072451914278</v>
      </c>
      <c r="M56">
        <f t="shared" si="0"/>
        <v>2.0000000000000049</v>
      </c>
      <c r="N56">
        <f t="shared" si="4"/>
        <v>0.12098536225957139</v>
      </c>
      <c r="O56">
        <f t="shared" si="5"/>
        <v>3.0000000000000022</v>
      </c>
      <c r="P56">
        <f t="shared" si="6"/>
        <v>0.3989422804014327</v>
      </c>
      <c r="Y56">
        <f t="shared" si="7"/>
        <v>1.0000000000000024</v>
      </c>
      <c r="Z56">
        <f t="shared" si="8"/>
        <v>0.24197072451914278</v>
      </c>
    </row>
    <row r="57" spans="2:26" x14ac:dyDescent="0.35">
      <c r="B57">
        <f t="shared" si="1"/>
        <v>1.1000000000000025</v>
      </c>
      <c r="C57">
        <f t="shared" si="2"/>
        <v>0.21785217703254997</v>
      </c>
      <c r="K57">
        <f t="shared" si="3"/>
        <v>1.1000000000000025</v>
      </c>
      <c r="L57">
        <f t="shared" si="4"/>
        <v>0.21785217703254997</v>
      </c>
      <c r="M57">
        <f t="shared" si="0"/>
        <v>2.2000000000000051</v>
      </c>
      <c r="N57">
        <f t="shared" si="4"/>
        <v>0.10892608851627499</v>
      </c>
      <c r="O57">
        <f t="shared" si="5"/>
        <v>3.1000000000000023</v>
      </c>
      <c r="P57">
        <f t="shared" si="6"/>
        <v>0.3969525474770117</v>
      </c>
      <c r="Y57">
        <f t="shared" si="7"/>
        <v>1.1000000000000025</v>
      </c>
      <c r="Z57">
        <f t="shared" si="8"/>
        <v>0.21785217703254997</v>
      </c>
    </row>
    <row r="58" spans="2:26" x14ac:dyDescent="0.35">
      <c r="B58">
        <f t="shared" si="1"/>
        <v>1.2000000000000026</v>
      </c>
      <c r="C58">
        <f t="shared" si="2"/>
        <v>0.19418605498321231</v>
      </c>
      <c r="K58">
        <f t="shared" si="3"/>
        <v>1.2000000000000026</v>
      </c>
      <c r="L58">
        <f t="shared" si="4"/>
        <v>0.19418605498321231</v>
      </c>
      <c r="M58">
        <f t="shared" si="0"/>
        <v>2.4000000000000052</v>
      </c>
      <c r="N58">
        <f t="shared" si="4"/>
        <v>9.7093027491606157E-2</v>
      </c>
      <c r="O58">
        <f t="shared" si="5"/>
        <v>3.2000000000000024</v>
      </c>
      <c r="P58">
        <f t="shared" si="6"/>
        <v>0.39104269397545571</v>
      </c>
      <c r="Y58">
        <f t="shared" si="7"/>
        <v>1.2000000000000026</v>
      </c>
      <c r="Z58">
        <f t="shared" si="8"/>
        <v>0.19418605498321231</v>
      </c>
    </row>
    <row r="59" spans="2:26" x14ac:dyDescent="0.35">
      <c r="B59">
        <f t="shared" si="1"/>
        <v>1.3000000000000027</v>
      </c>
      <c r="C59">
        <f t="shared" si="2"/>
        <v>0.17136859204780677</v>
      </c>
      <c r="K59">
        <f t="shared" si="3"/>
        <v>1.3000000000000027</v>
      </c>
      <c r="L59">
        <f t="shared" si="4"/>
        <v>0.17136859204780677</v>
      </c>
      <c r="M59">
        <f t="shared" si="0"/>
        <v>2.6000000000000054</v>
      </c>
      <c r="N59">
        <f t="shared" si="4"/>
        <v>8.5684296023903386E-2</v>
      </c>
      <c r="O59">
        <f t="shared" si="5"/>
        <v>3.3000000000000025</v>
      </c>
      <c r="P59">
        <f t="shared" si="6"/>
        <v>0.3813878154605238</v>
      </c>
      <c r="Y59">
        <f t="shared" si="7"/>
        <v>1.3000000000000027</v>
      </c>
      <c r="Z59">
        <f t="shared" si="8"/>
        <v>0.17136859204780677</v>
      </c>
    </row>
    <row r="60" spans="2:26" x14ac:dyDescent="0.35">
      <c r="B60">
        <f t="shared" si="1"/>
        <v>1.4000000000000028</v>
      </c>
      <c r="C60">
        <f t="shared" si="2"/>
        <v>0.14972746563574427</v>
      </c>
      <c r="K60">
        <f t="shared" si="3"/>
        <v>1.4000000000000028</v>
      </c>
      <c r="L60">
        <f t="shared" si="4"/>
        <v>0.14972746563574427</v>
      </c>
      <c r="M60">
        <f t="shared" si="0"/>
        <v>2.8000000000000056</v>
      </c>
      <c r="N60">
        <f t="shared" si="4"/>
        <v>7.4863732817872133E-2</v>
      </c>
      <c r="O60">
        <f t="shared" si="5"/>
        <v>3.4000000000000026</v>
      </c>
      <c r="P60">
        <f t="shared" si="6"/>
        <v>0.36827014030332295</v>
      </c>
      <c r="Y60">
        <f t="shared" si="7"/>
        <v>1.4000000000000028</v>
      </c>
      <c r="Z60">
        <f t="shared" si="8"/>
        <v>0.14972746563574427</v>
      </c>
    </row>
    <row r="61" spans="2:26" x14ac:dyDescent="0.35">
      <c r="B61">
        <f t="shared" si="1"/>
        <v>1.5000000000000029</v>
      </c>
      <c r="C61">
        <f t="shared" si="2"/>
        <v>0.12951759566589116</v>
      </c>
      <c r="K61">
        <f t="shared" si="3"/>
        <v>1.5000000000000029</v>
      </c>
      <c r="L61">
        <f t="shared" si="4"/>
        <v>0.12951759566589116</v>
      </c>
      <c r="M61">
        <f t="shared" si="0"/>
        <v>3.0000000000000058</v>
      </c>
      <c r="N61">
        <f t="shared" si="4"/>
        <v>6.475879783294558E-2</v>
      </c>
      <c r="O61">
        <f t="shared" si="5"/>
        <v>3.5000000000000027</v>
      </c>
      <c r="P61">
        <f t="shared" si="6"/>
        <v>0.35206532676429902</v>
      </c>
      <c r="Y61">
        <f t="shared" si="7"/>
        <v>1.5000000000000029</v>
      </c>
      <c r="Z61">
        <f t="shared" si="8"/>
        <v>0.12951759566589116</v>
      </c>
    </row>
    <row r="62" spans="2:26" x14ac:dyDescent="0.35">
      <c r="B62">
        <f t="shared" si="1"/>
        <v>1.600000000000003</v>
      </c>
      <c r="C62">
        <f t="shared" si="2"/>
        <v>0.11092083467945503</v>
      </c>
      <c r="K62">
        <f t="shared" si="3"/>
        <v>1.600000000000003</v>
      </c>
      <c r="L62">
        <f t="shared" si="4"/>
        <v>0.11092083467945503</v>
      </c>
      <c r="M62">
        <f t="shared" si="0"/>
        <v>3.200000000000006</v>
      </c>
      <c r="N62">
        <f t="shared" si="4"/>
        <v>5.5460417339727515E-2</v>
      </c>
      <c r="O62">
        <f t="shared" si="5"/>
        <v>3.6000000000000028</v>
      </c>
      <c r="P62">
        <f t="shared" si="6"/>
        <v>0.33322460289179912</v>
      </c>
      <c r="Y62">
        <f t="shared" si="7"/>
        <v>1.600000000000003</v>
      </c>
      <c r="Z62">
        <f t="shared" si="8"/>
        <v>0.11092083467945503</v>
      </c>
    </row>
    <row r="63" spans="2:26" x14ac:dyDescent="0.35">
      <c r="B63">
        <f t="shared" si="1"/>
        <v>1.7000000000000031</v>
      </c>
      <c r="C63">
        <f t="shared" si="2"/>
        <v>9.4049077376886434E-2</v>
      </c>
      <c r="K63">
        <f t="shared" si="3"/>
        <v>1.7000000000000031</v>
      </c>
      <c r="L63">
        <f t="shared" si="4"/>
        <v>9.4049077376886434E-2</v>
      </c>
      <c r="M63">
        <f t="shared" si="0"/>
        <v>3.4000000000000061</v>
      </c>
      <c r="N63">
        <f t="shared" si="4"/>
        <v>4.7024538688443217E-2</v>
      </c>
      <c r="O63">
        <f t="shared" si="5"/>
        <v>3.7000000000000028</v>
      </c>
      <c r="P63">
        <f t="shared" si="6"/>
        <v>0.31225393336676066</v>
      </c>
      <c r="Y63">
        <f t="shared" si="7"/>
        <v>1.7000000000000031</v>
      </c>
      <c r="Z63">
        <f t="shared" si="8"/>
        <v>9.4049077376886434E-2</v>
      </c>
    </row>
    <row r="64" spans="2:26" x14ac:dyDescent="0.35">
      <c r="B64">
        <f t="shared" si="1"/>
        <v>1.8000000000000032</v>
      </c>
      <c r="C64">
        <f t="shared" si="2"/>
        <v>7.8950158300893719E-2</v>
      </c>
      <c r="K64">
        <f t="shared" si="3"/>
        <v>1.8000000000000032</v>
      </c>
      <c r="L64">
        <f t="shared" si="4"/>
        <v>7.8950158300893719E-2</v>
      </c>
      <c r="M64">
        <f t="shared" si="0"/>
        <v>3.6000000000000063</v>
      </c>
      <c r="N64">
        <f t="shared" si="4"/>
        <v>3.947507915044686E-2</v>
      </c>
      <c r="O64">
        <f t="shared" si="5"/>
        <v>3.8000000000000029</v>
      </c>
      <c r="P64">
        <f t="shared" si="6"/>
        <v>0.28969155276148212</v>
      </c>
      <c r="Y64">
        <f t="shared" si="7"/>
        <v>1.8000000000000032</v>
      </c>
      <c r="Z64">
        <f t="shared" si="8"/>
        <v>7.8950158300893719E-2</v>
      </c>
    </row>
    <row r="65" spans="2:26" x14ac:dyDescent="0.35">
      <c r="B65">
        <f t="shared" si="1"/>
        <v>1.9000000000000032</v>
      </c>
      <c r="C65">
        <f t="shared" si="2"/>
        <v>6.5615814774676193E-2</v>
      </c>
      <c r="K65">
        <f t="shared" si="3"/>
        <v>1.9000000000000032</v>
      </c>
      <c r="L65">
        <f t="shared" si="4"/>
        <v>6.5615814774676193E-2</v>
      </c>
      <c r="M65">
        <f t="shared" si="0"/>
        <v>3.8000000000000065</v>
      </c>
      <c r="N65">
        <f t="shared" si="4"/>
        <v>3.2807907387338096E-2</v>
      </c>
      <c r="O65">
        <f t="shared" si="5"/>
        <v>3.900000000000003</v>
      </c>
      <c r="P65">
        <f t="shared" si="6"/>
        <v>0.26608524989875409</v>
      </c>
      <c r="Y65">
        <f t="shared" si="7"/>
        <v>1.9000000000000032</v>
      </c>
      <c r="Z65">
        <f t="shared" si="8"/>
        <v>6.5615814774676193E-2</v>
      </c>
    </row>
    <row r="66" spans="2:26" x14ac:dyDescent="0.35">
      <c r="B66">
        <f t="shared" si="1"/>
        <v>2.0000000000000031</v>
      </c>
      <c r="C66">
        <f t="shared" si="2"/>
        <v>5.3990966513187716E-2</v>
      </c>
      <c r="K66">
        <f t="shared" si="3"/>
        <v>2.0000000000000031</v>
      </c>
      <c r="L66">
        <f t="shared" si="4"/>
        <v>5.3990966513187716E-2</v>
      </c>
      <c r="M66">
        <f t="shared" si="0"/>
        <v>4.0000000000000062</v>
      </c>
      <c r="N66">
        <f t="shared" si="4"/>
        <v>2.6995483256593858E-2</v>
      </c>
      <c r="O66">
        <f t="shared" si="5"/>
        <v>4.0000000000000027</v>
      </c>
      <c r="P66">
        <f t="shared" si="6"/>
        <v>0.2419707245191427</v>
      </c>
      <c r="Y66">
        <f t="shared" si="7"/>
        <v>2.0000000000000031</v>
      </c>
      <c r="Z66">
        <f t="shared" si="8"/>
        <v>5.3990966513187716E-2</v>
      </c>
    </row>
    <row r="67" spans="2:26" x14ac:dyDescent="0.35">
      <c r="B67">
        <f t="shared" si="1"/>
        <v>2.1000000000000032</v>
      </c>
      <c r="C67">
        <f t="shared" si="2"/>
        <v>4.39835959804269E-2</v>
      </c>
      <c r="K67">
        <f t="shared" si="3"/>
        <v>2.1000000000000032</v>
      </c>
      <c r="L67">
        <f t="shared" si="4"/>
        <v>4.39835959804269E-2</v>
      </c>
      <c r="M67">
        <f t="shared" si="0"/>
        <v>4.2000000000000064</v>
      </c>
      <c r="N67">
        <f t="shared" si="4"/>
        <v>2.199179799021345E-2</v>
      </c>
      <c r="O67">
        <f t="shared" si="5"/>
        <v>4.1000000000000023</v>
      </c>
      <c r="P67">
        <f t="shared" si="6"/>
        <v>0.21785217703255</v>
      </c>
      <c r="Y67">
        <f t="shared" si="7"/>
        <v>2.1000000000000032</v>
      </c>
      <c r="Z67">
        <f t="shared" si="8"/>
        <v>4.39835959804269E-2</v>
      </c>
    </row>
    <row r="68" spans="2:26" x14ac:dyDescent="0.35">
      <c r="B68">
        <f t="shared" si="1"/>
        <v>2.2000000000000033</v>
      </c>
      <c r="C68">
        <f t="shared" si="2"/>
        <v>3.5474592846231189E-2</v>
      </c>
      <c r="K68">
        <f t="shared" si="3"/>
        <v>2.2000000000000033</v>
      </c>
      <c r="L68">
        <f t="shared" si="4"/>
        <v>3.5474592846231189E-2</v>
      </c>
      <c r="M68">
        <f t="shared" si="0"/>
        <v>4.4000000000000066</v>
      </c>
      <c r="N68">
        <f t="shared" si="4"/>
        <v>1.7737296423115594E-2</v>
      </c>
      <c r="O68">
        <f t="shared" si="5"/>
        <v>4.200000000000002</v>
      </c>
      <c r="P68">
        <f t="shared" si="6"/>
        <v>0.19418605498321251</v>
      </c>
      <c r="Y68">
        <f t="shared" si="7"/>
        <v>2.2000000000000033</v>
      </c>
      <c r="Z68">
        <f t="shared" si="8"/>
        <v>3.5474592846231189E-2</v>
      </c>
    </row>
    <row r="69" spans="2:26" x14ac:dyDescent="0.35">
      <c r="B69">
        <f t="shared" si="1"/>
        <v>2.3000000000000034</v>
      </c>
      <c r="C69">
        <f t="shared" si="2"/>
        <v>2.8327037741600961E-2</v>
      </c>
      <c r="K69">
        <f t="shared" si="3"/>
        <v>2.3000000000000034</v>
      </c>
      <c r="L69">
        <f t="shared" si="4"/>
        <v>2.8327037741600961E-2</v>
      </c>
      <c r="M69">
        <f t="shared" si="0"/>
        <v>4.6000000000000068</v>
      </c>
      <c r="N69">
        <f t="shared" si="4"/>
        <v>1.416351887080048E-2</v>
      </c>
      <c r="O69">
        <f t="shared" si="5"/>
        <v>4.3000000000000016</v>
      </c>
      <c r="P69">
        <f t="shared" si="6"/>
        <v>0.17136859204780702</v>
      </c>
      <c r="Y69">
        <f t="shared" si="7"/>
        <v>2.3000000000000034</v>
      </c>
      <c r="Z69">
        <f t="shared" si="8"/>
        <v>2.8327037741600961E-2</v>
      </c>
    </row>
    <row r="70" spans="2:26" x14ac:dyDescent="0.35">
      <c r="B70">
        <f t="shared" si="1"/>
        <v>2.4000000000000035</v>
      </c>
      <c r="C70">
        <f t="shared" si="2"/>
        <v>2.2394530294842712E-2</v>
      </c>
      <c r="K70">
        <f t="shared" si="3"/>
        <v>2.4000000000000035</v>
      </c>
      <c r="L70">
        <f t="shared" si="4"/>
        <v>2.2394530294842712E-2</v>
      </c>
      <c r="M70">
        <f t="shared" si="0"/>
        <v>4.8000000000000069</v>
      </c>
      <c r="N70">
        <f t="shared" si="4"/>
        <v>1.1197265147421356E-2</v>
      </c>
      <c r="O70">
        <f t="shared" si="5"/>
        <v>4.4000000000000012</v>
      </c>
      <c r="P70">
        <f t="shared" si="6"/>
        <v>0.1497274656357446</v>
      </c>
      <c r="Y70">
        <f t="shared" si="7"/>
        <v>2.4000000000000035</v>
      </c>
      <c r="Z70">
        <f t="shared" si="8"/>
        <v>2.2394530294842712E-2</v>
      </c>
    </row>
    <row r="71" spans="2:26" x14ac:dyDescent="0.35">
      <c r="B71">
        <f t="shared" si="1"/>
        <v>2.5000000000000036</v>
      </c>
      <c r="C71">
        <f t="shared" si="2"/>
        <v>1.7528300493568381E-2</v>
      </c>
      <c r="K71">
        <f t="shared" si="3"/>
        <v>2.5000000000000036</v>
      </c>
      <c r="L71">
        <f t="shared" si="4"/>
        <v>1.7528300493568381E-2</v>
      </c>
      <c r="M71">
        <f t="shared" si="0"/>
        <v>5.0000000000000071</v>
      </c>
      <c r="N71">
        <f t="shared" si="4"/>
        <v>8.7641502467841904E-3</v>
      </c>
      <c r="O71">
        <f t="shared" si="5"/>
        <v>4.5000000000000009</v>
      </c>
      <c r="P71">
        <f t="shared" si="6"/>
        <v>0.12951759566589155</v>
      </c>
      <c r="Y71">
        <f t="shared" si="7"/>
        <v>2.5000000000000036</v>
      </c>
      <c r="Z71">
        <f t="shared" si="8"/>
        <v>1.7528300493568381E-2</v>
      </c>
    </row>
    <row r="72" spans="2:26" x14ac:dyDescent="0.35">
      <c r="B72">
        <f t="shared" ref="B72:B86" si="13">B71+0.1</f>
        <v>2.6000000000000036</v>
      </c>
      <c r="C72">
        <f t="shared" ref="C72:C86" si="14">_xlfn.NORM.DIST(B72,C$2,C$3,FALSE)</f>
        <v>1.3582969233685486E-2</v>
      </c>
      <c r="K72">
        <f t="shared" ref="K72:K86" si="15">K71+0.1</f>
        <v>2.6000000000000036</v>
      </c>
      <c r="L72">
        <f t="shared" ref="L72:N86" si="16">_xlfn.NORM.DIST(K72,L$2,L$3,FALSE)</f>
        <v>1.3582969233685486E-2</v>
      </c>
      <c r="M72">
        <f t="shared" ref="M72:M86" si="17">M71+0.2</f>
        <v>5.2000000000000073</v>
      </c>
      <c r="N72">
        <f t="shared" si="16"/>
        <v>6.7914846168427431E-3</v>
      </c>
      <c r="O72">
        <f t="shared" ref="O72:O86" si="18">O71+0.1</f>
        <v>4.6000000000000005</v>
      </c>
      <c r="P72">
        <f t="shared" ref="P72:P86" si="19">_xlfn.NORM.DIST(O72,P$2,P$3,FALSE)</f>
        <v>0.11092083467945546</v>
      </c>
      <c r="Y72">
        <f t="shared" ref="Y72:Y86" si="20">Y71+0.1</f>
        <v>2.6000000000000036</v>
      </c>
      <c r="Z72">
        <f t="shared" ref="Z72:Z86" si="21">_xlfn.NORM.DIST(Y72,Z$2,Z$3,FALSE)</f>
        <v>1.3582969233685486E-2</v>
      </c>
    </row>
    <row r="73" spans="2:26" x14ac:dyDescent="0.35">
      <c r="B73">
        <f t="shared" si="13"/>
        <v>2.7000000000000037</v>
      </c>
      <c r="C73">
        <f t="shared" si="14"/>
        <v>1.0420934814422488E-2</v>
      </c>
      <c r="K73">
        <f t="shared" si="15"/>
        <v>2.7000000000000037</v>
      </c>
      <c r="L73">
        <f t="shared" si="16"/>
        <v>1.0420934814422488E-2</v>
      </c>
      <c r="M73">
        <f t="shared" si="17"/>
        <v>5.4000000000000075</v>
      </c>
      <c r="N73">
        <f t="shared" si="16"/>
        <v>5.2104674072112438E-3</v>
      </c>
      <c r="O73">
        <f t="shared" si="18"/>
        <v>4.7</v>
      </c>
      <c r="P73">
        <f t="shared" si="19"/>
        <v>9.4049077376886905E-2</v>
      </c>
      <c r="Y73">
        <f t="shared" si="20"/>
        <v>2.7000000000000037</v>
      </c>
      <c r="Z73">
        <f t="shared" si="21"/>
        <v>1.0420934814422488E-2</v>
      </c>
    </row>
    <row r="74" spans="2:26" x14ac:dyDescent="0.35">
      <c r="B74">
        <f t="shared" si="13"/>
        <v>2.8000000000000038</v>
      </c>
      <c r="C74">
        <f t="shared" si="14"/>
        <v>7.9154515829798801E-3</v>
      </c>
      <c r="K74">
        <f t="shared" si="15"/>
        <v>2.8000000000000038</v>
      </c>
      <c r="L74">
        <f t="shared" si="16"/>
        <v>7.9154515829798801E-3</v>
      </c>
      <c r="M74">
        <f t="shared" si="17"/>
        <v>5.6000000000000076</v>
      </c>
      <c r="N74">
        <f t="shared" si="16"/>
        <v>3.95772579148994E-3</v>
      </c>
      <c r="O74">
        <f t="shared" si="18"/>
        <v>4.8</v>
      </c>
      <c r="P74">
        <f t="shared" si="19"/>
        <v>7.8950158300894177E-2</v>
      </c>
      <c r="Y74">
        <f t="shared" si="20"/>
        <v>2.8000000000000038</v>
      </c>
      <c r="Z74">
        <f t="shared" si="21"/>
        <v>7.9154515829798801E-3</v>
      </c>
    </row>
    <row r="75" spans="2:26" x14ac:dyDescent="0.35">
      <c r="B75">
        <f t="shared" si="13"/>
        <v>2.9000000000000039</v>
      </c>
      <c r="C75">
        <f t="shared" si="14"/>
        <v>5.9525324197757853E-3</v>
      </c>
      <c r="K75">
        <f t="shared" si="15"/>
        <v>2.9000000000000039</v>
      </c>
      <c r="L75">
        <f t="shared" si="16"/>
        <v>5.9525324197757853E-3</v>
      </c>
      <c r="M75">
        <f t="shared" si="17"/>
        <v>5.8000000000000078</v>
      </c>
      <c r="N75">
        <f t="shared" si="16"/>
        <v>2.9762662098878926E-3</v>
      </c>
      <c r="O75">
        <f t="shared" si="18"/>
        <v>4.8999999999999995</v>
      </c>
      <c r="P75">
        <f t="shared" si="19"/>
        <v>6.5615814774676665E-2</v>
      </c>
      <c r="Y75">
        <f t="shared" si="20"/>
        <v>2.9000000000000039</v>
      </c>
      <c r="Z75">
        <f t="shared" si="21"/>
        <v>5.9525324197757853E-3</v>
      </c>
    </row>
    <row r="76" spans="2:26" x14ac:dyDescent="0.35">
      <c r="B76">
        <f t="shared" si="13"/>
        <v>3.000000000000004</v>
      </c>
      <c r="C76">
        <f t="shared" si="14"/>
        <v>4.4318484119379529E-3</v>
      </c>
      <c r="K76">
        <f t="shared" si="15"/>
        <v>3.000000000000004</v>
      </c>
      <c r="L76">
        <f t="shared" si="16"/>
        <v>4.4318484119379529E-3</v>
      </c>
      <c r="M76">
        <f t="shared" si="17"/>
        <v>6.000000000000008</v>
      </c>
      <c r="N76">
        <f t="shared" si="16"/>
        <v>2.2159242059689764E-3</v>
      </c>
      <c r="O76">
        <f t="shared" si="18"/>
        <v>4.9999999999999991</v>
      </c>
      <c r="P76">
        <f t="shared" si="19"/>
        <v>5.3990966513188146E-2</v>
      </c>
      <c r="Y76">
        <f t="shared" si="20"/>
        <v>3.000000000000004</v>
      </c>
      <c r="Z76">
        <f t="shared" si="21"/>
        <v>4.4318484119379529E-3</v>
      </c>
    </row>
    <row r="77" spans="2:26" x14ac:dyDescent="0.35">
      <c r="B77">
        <f t="shared" si="13"/>
        <v>3.1000000000000041</v>
      </c>
      <c r="C77">
        <f t="shared" si="14"/>
        <v>3.2668190561998783E-3</v>
      </c>
      <c r="K77">
        <f t="shared" si="15"/>
        <v>3.1000000000000041</v>
      </c>
      <c r="L77">
        <f t="shared" si="16"/>
        <v>3.2668190561998783E-3</v>
      </c>
      <c r="M77">
        <f t="shared" si="17"/>
        <v>6.2000000000000082</v>
      </c>
      <c r="N77">
        <f t="shared" si="16"/>
        <v>1.6334095280999392E-3</v>
      </c>
      <c r="O77">
        <f t="shared" si="18"/>
        <v>5.0999999999999988</v>
      </c>
      <c r="P77">
        <f t="shared" si="19"/>
        <v>4.3983595980427309E-2</v>
      </c>
      <c r="Y77">
        <f t="shared" si="20"/>
        <v>3.1000000000000041</v>
      </c>
      <c r="Z77">
        <f t="shared" si="21"/>
        <v>3.2668190561998783E-3</v>
      </c>
    </row>
    <row r="78" spans="2:26" x14ac:dyDescent="0.35">
      <c r="B78">
        <f t="shared" si="13"/>
        <v>3.2000000000000042</v>
      </c>
      <c r="C78">
        <f t="shared" si="14"/>
        <v>2.3840882014648105E-3</v>
      </c>
      <c r="K78">
        <f t="shared" si="15"/>
        <v>3.2000000000000042</v>
      </c>
      <c r="L78">
        <f t="shared" si="16"/>
        <v>2.3840882014648105E-3</v>
      </c>
      <c r="M78">
        <f t="shared" si="17"/>
        <v>6.4000000000000083</v>
      </c>
      <c r="N78">
        <f t="shared" si="16"/>
        <v>1.1920441007324052E-3</v>
      </c>
      <c r="O78">
        <f t="shared" si="18"/>
        <v>5.1999999999999984</v>
      </c>
      <c r="P78">
        <f t="shared" si="19"/>
        <v>3.547459284623157E-2</v>
      </c>
      <c r="Y78">
        <f t="shared" si="20"/>
        <v>3.2000000000000042</v>
      </c>
      <c r="Z78">
        <f t="shared" si="21"/>
        <v>2.3840882014648105E-3</v>
      </c>
    </row>
    <row r="79" spans="2:26" x14ac:dyDescent="0.35">
      <c r="B79">
        <f t="shared" si="13"/>
        <v>3.3000000000000043</v>
      </c>
      <c r="C79">
        <f t="shared" si="14"/>
        <v>1.7225689390536552E-3</v>
      </c>
      <c r="K79">
        <f t="shared" si="15"/>
        <v>3.3000000000000043</v>
      </c>
      <c r="L79">
        <f t="shared" si="16"/>
        <v>1.7225689390536552E-3</v>
      </c>
      <c r="M79">
        <f t="shared" si="17"/>
        <v>6.6000000000000085</v>
      </c>
      <c r="N79">
        <f t="shared" si="16"/>
        <v>8.612844695268276E-4</v>
      </c>
      <c r="O79">
        <f t="shared" si="18"/>
        <v>5.299999999999998</v>
      </c>
      <c r="P79">
        <f t="shared" si="19"/>
        <v>2.8327037741601297E-2</v>
      </c>
      <c r="Y79">
        <f t="shared" si="20"/>
        <v>3.3000000000000043</v>
      </c>
      <c r="Z79">
        <f t="shared" si="21"/>
        <v>1.7225689390536552E-3</v>
      </c>
    </row>
    <row r="80" spans="2:26" x14ac:dyDescent="0.35">
      <c r="B80">
        <f t="shared" si="13"/>
        <v>3.4000000000000044</v>
      </c>
      <c r="C80">
        <f t="shared" si="14"/>
        <v>1.2322191684730013E-3</v>
      </c>
      <c r="K80">
        <f t="shared" si="15"/>
        <v>3.4000000000000044</v>
      </c>
      <c r="L80">
        <f t="shared" si="16"/>
        <v>1.2322191684730013E-3</v>
      </c>
      <c r="M80">
        <f t="shared" si="17"/>
        <v>6.8000000000000087</v>
      </c>
      <c r="N80">
        <f t="shared" si="16"/>
        <v>6.1610958423650064E-4</v>
      </c>
      <c r="O80">
        <f t="shared" si="18"/>
        <v>5.3999999999999977</v>
      </c>
      <c r="P80">
        <f t="shared" si="19"/>
        <v>2.2394530294843017E-2</v>
      </c>
      <c r="Y80">
        <f t="shared" si="20"/>
        <v>3.4000000000000044</v>
      </c>
      <c r="Z80">
        <f t="shared" si="21"/>
        <v>1.2322191684730013E-3</v>
      </c>
    </row>
    <row r="81" spans="2:26" x14ac:dyDescent="0.35">
      <c r="B81">
        <f t="shared" si="13"/>
        <v>3.5000000000000044</v>
      </c>
      <c r="C81">
        <f t="shared" si="14"/>
        <v>8.7268269504574606E-4</v>
      </c>
      <c r="K81">
        <f t="shared" si="15"/>
        <v>3.5000000000000044</v>
      </c>
      <c r="L81">
        <f t="shared" si="16"/>
        <v>8.7268269504574606E-4</v>
      </c>
      <c r="M81">
        <f t="shared" si="17"/>
        <v>7.0000000000000089</v>
      </c>
      <c r="N81">
        <f t="shared" si="16"/>
        <v>4.3634134752287303E-4</v>
      </c>
      <c r="O81">
        <f t="shared" si="18"/>
        <v>5.4999999999999973</v>
      </c>
      <c r="P81">
        <f t="shared" si="19"/>
        <v>1.7528300493568655E-2</v>
      </c>
      <c r="Y81">
        <f t="shared" si="20"/>
        <v>3.5000000000000044</v>
      </c>
      <c r="Z81">
        <f t="shared" si="21"/>
        <v>8.7268269504574606E-4</v>
      </c>
    </row>
    <row r="82" spans="2:26" x14ac:dyDescent="0.35">
      <c r="B82">
        <f t="shared" si="13"/>
        <v>3.6000000000000045</v>
      </c>
      <c r="C82">
        <f t="shared" si="14"/>
        <v>6.1190193011376214E-4</v>
      </c>
      <c r="K82">
        <f t="shared" si="15"/>
        <v>3.6000000000000045</v>
      </c>
      <c r="L82">
        <f t="shared" si="16"/>
        <v>6.1190193011376214E-4</v>
      </c>
      <c r="M82">
        <f t="shared" si="17"/>
        <v>7.2000000000000091</v>
      </c>
      <c r="N82">
        <f t="shared" si="16"/>
        <v>3.0595096505688107E-4</v>
      </c>
      <c r="O82">
        <f t="shared" si="18"/>
        <v>5.599999999999997</v>
      </c>
      <c r="P82">
        <f t="shared" si="19"/>
        <v>1.3582969233685722E-2</v>
      </c>
      <c r="Y82">
        <f t="shared" si="20"/>
        <v>3.6000000000000045</v>
      </c>
      <c r="Z82">
        <f t="shared" si="21"/>
        <v>6.1190193011376214E-4</v>
      </c>
    </row>
    <row r="83" spans="2:26" x14ac:dyDescent="0.35">
      <c r="B83">
        <f t="shared" si="13"/>
        <v>3.7000000000000046</v>
      </c>
      <c r="C83">
        <f t="shared" si="14"/>
        <v>4.2478027055074428E-4</v>
      </c>
      <c r="K83">
        <f t="shared" si="15"/>
        <v>3.7000000000000046</v>
      </c>
      <c r="L83">
        <f t="shared" si="16"/>
        <v>4.2478027055074428E-4</v>
      </c>
      <c r="M83">
        <f t="shared" si="17"/>
        <v>7.4000000000000092</v>
      </c>
      <c r="N83">
        <f t="shared" si="16"/>
        <v>2.1239013527537214E-4</v>
      </c>
      <c r="O83">
        <f t="shared" si="18"/>
        <v>5.6999999999999966</v>
      </c>
      <c r="P83">
        <f t="shared" si="19"/>
        <v>1.0420934814422692E-2</v>
      </c>
      <c r="Y83">
        <f t="shared" si="20"/>
        <v>3.7000000000000046</v>
      </c>
      <c r="Z83">
        <f t="shared" si="21"/>
        <v>4.2478027055074428E-4</v>
      </c>
    </row>
    <row r="84" spans="2:26" x14ac:dyDescent="0.35">
      <c r="B84">
        <f t="shared" si="13"/>
        <v>3.8000000000000047</v>
      </c>
      <c r="C84">
        <f t="shared" si="14"/>
        <v>2.9194692579145507E-4</v>
      </c>
      <c r="K84">
        <f t="shared" si="15"/>
        <v>3.8000000000000047</v>
      </c>
      <c r="L84">
        <f t="shared" si="16"/>
        <v>2.9194692579145507E-4</v>
      </c>
      <c r="M84">
        <f t="shared" si="17"/>
        <v>7.6000000000000094</v>
      </c>
      <c r="N84">
        <f t="shared" si="16"/>
        <v>1.4597346289572753E-4</v>
      </c>
      <c r="O84">
        <f t="shared" si="18"/>
        <v>5.7999999999999963</v>
      </c>
      <c r="P84">
        <f t="shared" si="19"/>
        <v>7.9154515829800449E-3</v>
      </c>
      <c r="Y84">
        <f t="shared" si="20"/>
        <v>3.8000000000000047</v>
      </c>
      <c r="Z84">
        <f t="shared" si="21"/>
        <v>2.9194692579145507E-4</v>
      </c>
    </row>
    <row r="85" spans="2:26" x14ac:dyDescent="0.35">
      <c r="B85">
        <f t="shared" si="13"/>
        <v>3.9000000000000048</v>
      </c>
      <c r="C85">
        <f t="shared" si="14"/>
        <v>1.9865547139276881E-4</v>
      </c>
      <c r="K85">
        <f t="shared" si="15"/>
        <v>3.9000000000000048</v>
      </c>
      <c r="L85">
        <f t="shared" si="16"/>
        <v>1.9865547139276881E-4</v>
      </c>
      <c r="M85">
        <f t="shared" si="17"/>
        <v>7.8000000000000096</v>
      </c>
      <c r="N85">
        <f t="shared" si="16"/>
        <v>9.9327735696384407E-5</v>
      </c>
      <c r="O85">
        <f t="shared" si="18"/>
        <v>5.8999999999999959</v>
      </c>
      <c r="P85">
        <f t="shared" si="19"/>
        <v>5.9525324197759223E-3</v>
      </c>
      <c r="Y85">
        <f t="shared" si="20"/>
        <v>3.9000000000000048</v>
      </c>
      <c r="Z85">
        <f t="shared" si="21"/>
        <v>1.9865547139276881E-4</v>
      </c>
    </row>
    <row r="86" spans="2:26" x14ac:dyDescent="0.35">
      <c r="B86">
        <f t="shared" si="13"/>
        <v>4.0000000000000044</v>
      </c>
      <c r="C86">
        <f t="shared" si="14"/>
        <v>1.3383022576488298E-4</v>
      </c>
      <c r="K86">
        <f t="shared" si="15"/>
        <v>4.0000000000000044</v>
      </c>
      <c r="L86">
        <f t="shared" si="16"/>
        <v>1.3383022576488298E-4</v>
      </c>
      <c r="M86">
        <f t="shared" si="17"/>
        <v>8.0000000000000089</v>
      </c>
      <c r="N86">
        <f t="shared" si="16"/>
        <v>6.6915112882441491E-5</v>
      </c>
      <c r="O86">
        <f t="shared" si="18"/>
        <v>5.9999999999999956</v>
      </c>
      <c r="P86">
        <f t="shared" si="19"/>
        <v>4.4318484119380665E-3</v>
      </c>
      <c r="Y86">
        <f t="shared" si="20"/>
        <v>4.0000000000000044</v>
      </c>
      <c r="Z86">
        <f t="shared" si="21"/>
        <v>1.3383022576488298E-4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標準正規分布・t分布</vt:lpstr>
      <vt:lpstr>標準正規分布・t分布_解答</vt:lpstr>
      <vt:lpstr>norm.dist</vt:lpstr>
      <vt:lpstr>標準正規分布・t分布!Print_Area</vt:lpstr>
      <vt:lpstr>標準正規分布・t分布_解答!Print_Area</vt:lpstr>
    </vt:vector>
  </TitlesOfParts>
  <Company>University of Tsukuba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Tsukuba-Think</dc:creator>
  <cp:lastModifiedBy>津村幸治</cp:lastModifiedBy>
  <cp:lastPrinted>2024-12-02T13:45:06Z</cp:lastPrinted>
  <dcterms:created xsi:type="dcterms:W3CDTF">2019-04-23T06:14:39Z</dcterms:created>
  <dcterms:modified xsi:type="dcterms:W3CDTF">2026-09-14T14:37:56Z</dcterms:modified>
</cp:coreProperties>
</file>