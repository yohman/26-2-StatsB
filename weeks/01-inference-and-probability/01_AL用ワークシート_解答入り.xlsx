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is\Desktop\"/>
    </mc:Choice>
  </mc:AlternateContent>
  <xr:revisionPtr revIDLastSave="0" documentId="13_ncr:1_{AF4E9572-9DBE-4810-913C-3262FC42720F}" xr6:coauthVersionLast="47" xr6:coauthVersionMax="47" xr10:uidLastSave="{00000000-0000-0000-0000-000000000000}"/>
  <bookViews>
    <workbookView xWindow="-110" yWindow="-110" windowWidth="19420" windowHeight="10420" xr2:uid="{C21A91B8-A0D5-4B39-A9C3-873DA45567A6}"/>
  </bookViews>
  <sheets>
    <sheet name="解答_サイコロの出目" sheetId="4" r:id="rId1"/>
    <sheet name="サイコロの出目" sheetId="2" r:id="rId2"/>
    <sheet name="解答_判定検査" sheetId="5" r:id="rId3"/>
    <sheet name="判定検査" sheetId="3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0" i="3" l="1"/>
  <c r="E4" i="5"/>
  <c r="H9" i="5" s="1"/>
  <c r="E9" i="4"/>
  <c r="H7" i="4"/>
  <c r="H5" i="4"/>
  <c r="H8" i="5" l="1"/>
  <c r="F10" i="5" l="1"/>
  <c r="E12" i="5" s="1"/>
  <c r="F8" i="5"/>
  <c r="F8" i="3"/>
</calcChain>
</file>

<file path=xl/sharedStrings.xml><?xml version="1.0" encoding="utf-8"?>
<sst xmlns="http://schemas.openxmlformats.org/spreadsheetml/2006/main" count="60" uniqueCount="25">
  <si>
    <t>サイコロを振り，出目を見逃した．友人によると，出目は偶数だったとのこと．出目が4以上である確率は？</t>
    <phoneticPr fontId="2"/>
  </si>
  <si>
    <t>事象A</t>
    <rPh sb="0" eb="2">
      <t>ジショウ</t>
    </rPh>
    <phoneticPr fontId="2"/>
  </si>
  <si>
    <t>（確定している条件）</t>
    <rPh sb="1" eb="3">
      <t>カクテイ</t>
    </rPh>
    <rPh sb="7" eb="9">
      <t>ジョウケン</t>
    </rPh>
    <phoneticPr fontId="2"/>
  </si>
  <si>
    <t>事象B</t>
    <rPh sb="0" eb="2">
      <t>ジショウ</t>
    </rPh>
    <phoneticPr fontId="2"/>
  </si>
  <si>
    <t>（確率を求めたい事象）</t>
    <rPh sb="1" eb="3">
      <t>カクリツ</t>
    </rPh>
    <rPh sb="4" eb="5">
      <t>モト</t>
    </rPh>
    <rPh sb="8" eb="10">
      <t>ジショウ</t>
    </rPh>
    <phoneticPr fontId="2"/>
  </si>
  <si>
    <t>積事象</t>
    <rPh sb="0" eb="3">
      <t>セキジショウ</t>
    </rPh>
    <phoneticPr fontId="2"/>
  </si>
  <si>
    <t>事象</t>
    <rPh sb="0" eb="2">
      <t>ジショウ</t>
    </rPh>
    <phoneticPr fontId="2"/>
  </si>
  <si>
    <t>説明</t>
    <rPh sb="0" eb="2">
      <t>セツメイ</t>
    </rPh>
    <phoneticPr fontId="2"/>
  </si>
  <si>
    <t>パターン</t>
    <phoneticPr fontId="2"/>
  </si>
  <si>
    <t>偶数</t>
    <rPh sb="0" eb="2">
      <t>グウスウ</t>
    </rPh>
    <phoneticPr fontId="2"/>
  </si>
  <si>
    <t>偶数かつ4以上</t>
    <rPh sb="0" eb="2">
      <t>グウスウ</t>
    </rPh>
    <rPh sb="5" eb="7">
      <t>イジョウ</t>
    </rPh>
    <phoneticPr fontId="2"/>
  </si>
  <si>
    <t>4以上</t>
    <rPh sb="1" eb="3">
      <t>イジョウ</t>
    </rPh>
    <phoneticPr fontId="2"/>
  </si>
  <si>
    <t>2,4,6</t>
    <phoneticPr fontId="2"/>
  </si>
  <si>
    <t>4,5,6</t>
    <phoneticPr fontId="2"/>
  </si>
  <si>
    <t>4,6</t>
    <phoneticPr fontId="2"/>
  </si>
  <si>
    <t>確率</t>
    <rPh sb="0" eb="2">
      <t>カクリツ</t>
    </rPh>
    <phoneticPr fontId="2"/>
  </si>
  <si>
    <t>パターン数</t>
    <rPh sb="4" eb="5">
      <t>スウ</t>
    </rPh>
    <phoneticPr fontId="2"/>
  </si>
  <si>
    <t>条件付確率 (B|A)=</t>
    <rPh sb="0" eb="3">
      <t>ジョウケンツキ</t>
    </rPh>
    <rPh sb="3" eb="5">
      <t>カクリツ</t>
    </rPh>
    <phoneticPr fontId="2"/>
  </si>
  <si>
    <t>ある病気は10万人に1人が罹患．検査の判定が間違っている確率は1%．検査で陽性反応が出たとき，あなたが本当に罹患している確率は？</t>
    <phoneticPr fontId="2"/>
  </si>
  <si>
    <t>陽性反応が出る</t>
    <rPh sb="0" eb="4">
      <t>ヨウセイハンノウ</t>
    </rPh>
    <rPh sb="5" eb="6">
      <t>デ</t>
    </rPh>
    <phoneticPr fontId="2"/>
  </si>
  <si>
    <t>陽性かつ検査が正しい</t>
    <rPh sb="0" eb="2">
      <t>ヨウセイ</t>
    </rPh>
    <rPh sb="4" eb="6">
      <t>ケンサ</t>
    </rPh>
    <rPh sb="7" eb="8">
      <t>タダ</t>
    </rPh>
    <phoneticPr fontId="2"/>
  </si>
  <si>
    <t>本当に罹患していて，検査結果が正しい</t>
    <rPh sb="0" eb="2">
      <t>ホントウ</t>
    </rPh>
    <rPh sb="3" eb="5">
      <t>リカン</t>
    </rPh>
    <rPh sb="10" eb="12">
      <t>ケンサ</t>
    </rPh>
    <rPh sb="12" eb="14">
      <t>ケッカ</t>
    </rPh>
    <rPh sb="15" eb="16">
      <t>タダ</t>
    </rPh>
    <phoneticPr fontId="2"/>
  </si>
  <si>
    <t>罹患していないのに，検査結果が誤り</t>
    <rPh sb="0" eb="2">
      <t>リカン</t>
    </rPh>
    <rPh sb="10" eb="14">
      <t>ケンサケッカ</t>
    </rPh>
    <rPh sb="15" eb="16">
      <t>アヤマ</t>
    </rPh>
    <phoneticPr fontId="2"/>
  </si>
  <si>
    <t>罹患する確率＝</t>
    <rPh sb="0" eb="2">
      <t>リカン</t>
    </rPh>
    <rPh sb="4" eb="6">
      <t>カクリツ</t>
    </rPh>
    <phoneticPr fontId="2"/>
  </si>
  <si>
    <t>検査の判定が間違っている確率＝</t>
    <rPh sb="0" eb="2">
      <t>ケンサ</t>
    </rPh>
    <rPh sb="3" eb="5">
      <t>ハンテイ</t>
    </rPh>
    <rPh sb="6" eb="8">
      <t>マチガ</t>
    </rPh>
    <rPh sb="12" eb="14">
      <t>カクリツ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</si>
</sst>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9"/>
      <color theme="1"/>
      <name val="游ゴシック"/>
      <family val="2"/>
      <charset val="128"/>
      <scheme val="minor"/>
    </font>
    <font>
      <sz val="11"/>
      <color rgb="FFFF0000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26">
    <border>
      <left/>
      <right/>
      <top/>
      <bottom/>
      <diagonal/>
    </border>
    <border>
      <left style="thick">
        <color auto="1"/>
      </left>
      <right style="dotted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dotted">
        <color auto="1"/>
      </right>
      <top style="thick">
        <color auto="1"/>
      </top>
      <bottom style="thin">
        <color auto="1"/>
      </bottom>
      <diagonal/>
    </border>
    <border>
      <left style="dotted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dotted">
        <color auto="1"/>
      </right>
      <top style="thin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thick">
        <color auto="1"/>
      </bottom>
      <diagonal/>
    </border>
    <border>
      <left style="dotted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dotted">
        <color auto="1"/>
      </right>
      <top/>
      <bottom style="thin">
        <color auto="1"/>
      </bottom>
      <diagonal/>
    </border>
    <border>
      <left style="dotted">
        <color auto="1"/>
      </left>
      <right style="dotted">
        <color auto="1"/>
      </right>
      <top/>
      <bottom style="thin">
        <color auto="1"/>
      </bottom>
      <diagonal/>
    </border>
    <border>
      <left style="dotted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dotted">
        <color auto="1"/>
      </right>
      <top style="thick">
        <color auto="1"/>
      </top>
      <bottom style="double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double">
        <color auto="1"/>
      </bottom>
      <diagonal/>
    </border>
    <border>
      <left style="dotted">
        <color auto="1"/>
      </left>
      <right style="thick">
        <color auto="1"/>
      </right>
      <top style="thick">
        <color auto="1"/>
      </top>
      <bottom style="double">
        <color auto="1"/>
      </bottom>
      <diagonal/>
    </border>
    <border>
      <left style="thick">
        <color auto="1"/>
      </left>
      <right style="dotted">
        <color auto="1"/>
      </right>
      <top/>
      <bottom/>
      <diagonal/>
    </border>
    <border>
      <left style="dotted">
        <color auto="1"/>
      </left>
      <right style="dotted">
        <color auto="1"/>
      </right>
      <top/>
      <bottom/>
      <diagonal/>
    </border>
    <border>
      <left style="dotted">
        <color auto="1"/>
      </left>
      <right style="thick">
        <color auto="1"/>
      </right>
      <top/>
      <bottom/>
      <diagonal/>
    </border>
    <border>
      <left style="dotted">
        <color auto="1"/>
      </left>
      <right/>
      <top style="thick">
        <color auto="1"/>
      </top>
      <bottom style="double">
        <color auto="1"/>
      </bottom>
      <diagonal/>
    </border>
    <border>
      <left style="dotted">
        <color auto="1"/>
      </left>
      <right/>
      <top/>
      <bottom style="thin">
        <color auto="1"/>
      </bottom>
      <diagonal/>
    </border>
    <border>
      <left style="dotted">
        <color auto="1"/>
      </left>
      <right/>
      <top/>
      <bottom/>
      <diagonal/>
    </border>
    <border>
      <left style="dotted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/>
      <right style="dotted">
        <color auto="1"/>
      </right>
      <top style="thin">
        <color auto="1"/>
      </top>
      <bottom style="thick">
        <color auto="1"/>
      </bottom>
      <diagonal/>
    </border>
  </borders>
  <cellStyleXfs count="1">
    <xf numFmtId="0" fontId="0" fillId="0" borderId="0">
      <alignment vertical="center"/>
    </xf>
  </cellStyleXfs>
  <cellXfs count="5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5" xfId="0" applyBorder="1">
      <alignment vertical="center"/>
    </xf>
    <xf numFmtId="0" fontId="3" fillId="0" borderId="6" xfId="0" applyFont="1" applyBorder="1">
      <alignment vertical="center"/>
    </xf>
    <xf numFmtId="0" fontId="0" fillId="0" borderId="6" xfId="0" applyBorder="1" applyAlignment="1">
      <alignment vertical="center" shrinkToFit="1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9" xfId="0" applyBorder="1">
      <alignment vertical="center"/>
    </xf>
    <xf numFmtId="0" fontId="0" fillId="0" borderId="9" xfId="0" applyBorder="1" applyAlignment="1">
      <alignment vertical="center" shrinkToFit="1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3" fillId="0" borderId="12" xfId="0" applyFont="1" applyBorder="1">
      <alignment vertical="center"/>
    </xf>
    <xf numFmtId="0" fontId="0" fillId="0" borderId="12" xfId="0" applyBorder="1" applyAlignment="1">
      <alignment vertical="center" shrinkToFit="1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2" borderId="6" xfId="0" applyFill="1" applyBorder="1">
      <alignment vertical="center"/>
    </xf>
    <xf numFmtId="0" fontId="0" fillId="2" borderId="7" xfId="0" applyFill="1" applyBorder="1">
      <alignment vertical="center"/>
    </xf>
    <xf numFmtId="0" fontId="0" fillId="0" borderId="18" xfId="0" applyBorder="1" applyAlignment="1">
      <alignment vertical="center" shrinkToFit="1"/>
    </xf>
    <xf numFmtId="0" fontId="0" fillId="0" borderId="19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8" xfId="0" applyBorder="1" applyAlignment="1">
      <alignment vertical="center" shrinkToFit="1"/>
    </xf>
    <xf numFmtId="0" fontId="0" fillId="0" borderId="20" xfId="0" applyBorder="1" applyAlignment="1">
      <alignment horizontal="center" vertical="center"/>
    </xf>
    <xf numFmtId="0" fontId="0" fillId="0" borderId="21" xfId="0" applyBorder="1">
      <alignment vertical="center"/>
    </xf>
    <xf numFmtId="0" fontId="0" fillId="0" borderId="23" xfId="0" applyBorder="1">
      <alignment vertical="center"/>
    </xf>
    <xf numFmtId="0" fontId="0" fillId="2" borderId="9" xfId="0" applyFill="1" applyBorder="1" applyAlignment="1">
      <alignment vertical="center" shrinkToFit="1"/>
    </xf>
    <xf numFmtId="0" fontId="0" fillId="2" borderId="10" xfId="0" applyFill="1" applyBorder="1">
      <alignment vertical="center"/>
    </xf>
    <xf numFmtId="0" fontId="0" fillId="2" borderId="17" xfId="0" applyFill="1" applyBorder="1">
      <alignment vertical="center"/>
    </xf>
    <xf numFmtId="0" fontId="3" fillId="2" borderId="18" xfId="0" applyFont="1" applyFill="1" applyBorder="1">
      <alignment vertical="center"/>
    </xf>
    <xf numFmtId="0" fontId="0" fillId="2" borderId="18" xfId="0" applyFill="1" applyBorder="1" applyAlignment="1">
      <alignment vertical="center" shrinkToFit="1"/>
    </xf>
    <xf numFmtId="0" fontId="0" fillId="2" borderId="22" xfId="0" applyFill="1" applyBorder="1">
      <alignment vertical="center"/>
    </xf>
    <xf numFmtId="0" fontId="0" fillId="0" borderId="24" xfId="0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1" fillId="0" borderId="12" xfId="0" applyFont="1" applyBorder="1">
      <alignment vertical="center"/>
    </xf>
    <xf numFmtId="0" fontId="4" fillId="0" borderId="6" xfId="0" applyFont="1" applyBorder="1">
      <alignment vertical="center"/>
    </xf>
    <xf numFmtId="0" fontId="4" fillId="0" borderId="9" xfId="0" applyFont="1" applyBorder="1">
      <alignment vertical="center"/>
    </xf>
    <xf numFmtId="0" fontId="1" fillId="0" borderId="12" xfId="0" applyFont="1" applyBorder="1" applyAlignment="1">
      <alignment vertical="center" shrinkToFit="1"/>
    </xf>
    <xf numFmtId="0" fontId="4" fillId="0" borderId="6" xfId="0" applyFont="1" applyBorder="1" applyAlignment="1">
      <alignment vertical="center" shrinkToFit="1"/>
    </xf>
    <xf numFmtId="0" fontId="4" fillId="0" borderId="9" xfId="0" applyFont="1" applyBorder="1" applyAlignment="1">
      <alignment vertical="center" shrinkToFit="1"/>
    </xf>
    <xf numFmtId="0" fontId="1" fillId="0" borderId="13" xfId="0" applyFont="1" applyBorder="1">
      <alignment vertical="center"/>
    </xf>
    <xf numFmtId="0" fontId="1" fillId="0" borderId="9" xfId="0" applyFont="1" applyBorder="1">
      <alignment vertical="center"/>
    </xf>
    <xf numFmtId="0" fontId="1" fillId="0" borderId="10" xfId="0" applyFont="1" applyBorder="1">
      <alignment vertical="center"/>
    </xf>
    <xf numFmtId="0" fontId="1" fillId="0" borderId="2" xfId="0" applyFont="1" applyBorder="1">
      <alignment vertical="center"/>
    </xf>
    <xf numFmtId="0" fontId="1" fillId="0" borderId="23" xfId="0" applyFont="1" applyBorder="1">
      <alignment vertical="center"/>
    </xf>
    <xf numFmtId="0" fontId="1" fillId="0" borderId="9" xfId="0" applyFont="1" applyBorder="1" applyAlignment="1">
      <alignment vertical="center" shrinkToFit="1"/>
    </xf>
    <xf numFmtId="0" fontId="1" fillId="0" borderId="21" xfId="0" applyFont="1" applyBorder="1">
      <alignment vertical="center"/>
    </xf>
    <xf numFmtId="0" fontId="1" fillId="0" borderId="19" xfId="0" applyFont="1" applyBorder="1">
      <alignment vertical="center"/>
    </xf>
    <xf numFmtId="0" fontId="1" fillId="0" borderId="7" xfId="0" applyFont="1" applyBorder="1">
      <alignment vertical="center"/>
    </xf>
    <xf numFmtId="0" fontId="1" fillId="0" borderId="4" xfId="0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18F59-D0DF-4D90-8F5F-A128356981D8}">
  <dimension ref="B2:H10"/>
  <sheetViews>
    <sheetView showGridLines="0" tabSelected="1" workbookViewId="0"/>
  </sheetViews>
  <sheetFormatPr defaultRowHeight="18" x14ac:dyDescent="0.55000000000000004"/>
  <cols>
    <col min="4" max="4" width="18.25" bestFit="1" customWidth="1"/>
    <col min="5" max="5" width="13.4140625" bestFit="1" customWidth="1"/>
    <col min="7" max="7" width="10.4140625" bestFit="1" customWidth="1"/>
  </cols>
  <sheetData>
    <row r="2" spans="2:8" x14ac:dyDescent="0.55000000000000004">
      <c r="B2" t="s">
        <v>0</v>
      </c>
    </row>
    <row r="3" spans="2:8" ht="18.5" thickBot="1" x14ac:dyDescent="0.6"/>
    <row r="4" spans="2:8" ht="19" thickTop="1" thickBot="1" x14ac:dyDescent="0.6">
      <c r="C4" s="16" t="s">
        <v>6</v>
      </c>
      <c r="D4" s="17"/>
      <c r="E4" s="18" t="s">
        <v>7</v>
      </c>
      <c r="F4" s="18" t="s">
        <v>8</v>
      </c>
      <c r="G4" s="18" t="s">
        <v>16</v>
      </c>
      <c r="H4" s="19" t="s">
        <v>15</v>
      </c>
    </row>
    <row r="5" spans="2:8" ht="18.5" thickTop="1" x14ac:dyDescent="0.55000000000000004">
      <c r="C5" s="11" t="s">
        <v>1</v>
      </c>
      <c r="D5" s="12" t="s">
        <v>2</v>
      </c>
      <c r="E5" s="41" t="s">
        <v>9</v>
      </c>
      <c r="F5" s="38" t="s">
        <v>12</v>
      </c>
      <c r="G5" s="38">
        <v>3</v>
      </c>
      <c r="H5" s="44">
        <f>G5/6</f>
        <v>0.5</v>
      </c>
    </row>
    <row r="6" spans="2:8" x14ac:dyDescent="0.55000000000000004">
      <c r="C6" s="3" t="s">
        <v>3</v>
      </c>
      <c r="D6" s="4" t="s">
        <v>4</v>
      </c>
      <c r="E6" s="42" t="s">
        <v>11</v>
      </c>
      <c r="F6" s="39" t="s">
        <v>13</v>
      </c>
      <c r="G6" s="20"/>
      <c r="H6" s="21"/>
    </row>
    <row r="7" spans="2:8" ht="18.5" thickBot="1" x14ac:dyDescent="0.6">
      <c r="C7" s="36" t="s">
        <v>5</v>
      </c>
      <c r="D7" s="37"/>
      <c r="E7" s="43" t="s">
        <v>10</v>
      </c>
      <c r="F7" s="40" t="s">
        <v>14</v>
      </c>
      <c r="G7" s="45">
        <v>2</v>
      </c>
      <c r="H7" s="46">
        <f>G7/6</f>
        <v>0.33333333333333331</v>
      </c>
    </row>
    <row r="8" spans="2:8" ht="19" thickTop="1" thickBot="1" x14ac:dyDescent="0.6"/>
    <row r="9" spans="2:8" ht="19" thickTop="1" thickBot="1" x14ac:dyDescent="0.6">
      <c r="D9" s="1" t="s">
        <v>17</v>
      </c>
      <c r="E9" s="47">
        <f>H7/H5</f>
        <v>0.66666666666666663</v>
      </c>
    </row>
    <row r="10" spans="2:8" ht="18.5" thickTop="1" x14ac:dyDescent="0.55000000000000004"/>
  </sheetData>
  <mergeCells count="2">
    <mergeCell ref="C4:D4"/>
    <mergeCell ref="C7:D7"/>
  </mergeCells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FE067-57C8-476D-B1A0-A34103FFC26E}">
  <dimension ref="B2:H10"/>
  <sheetViews>
    <sheetView showGridLines="0" workbookViewId="0"/>
  </sheetViews>
  <sheetFormatPr defaultRowHeight="18" x14ac:dyDescent="0.55000000000000004"/>
  <cols>
    <col min="4" max="4" width="18.25" bestFit="1" customWidth="1"/>
    <col min="5" max="5" width="13.4140625" bestFit="1" customWidth="1"/>
    <col min="7" max="7" width="10.4140625" bestFit="1" customWidth="1"/>
  </cols>
  <sheetData>
    <row r="2" spans="2:8" x14ac:dyDescent="0.55000000000000004">
      <c r="B2" t="s">
        <v>0</v>
      </c>
    </row>
    <row r="3" spans="2:8" ht="18.5" thickBot="1" x14ac:dyDescent="0.6"/>
    <row r="4" spans="2:8" ht="19" thickTop="1" thickBot="1" x14ac:dyDescent="0.6">
      <c r="C4" s="16" t="s">
        <v>6</v>
      </c>
      <c r="D4" s="17"/>
      <c r="E4" s="18" t="s">
        <v>7</v>
      </c>
      <c r="F4" s="18" t="s">
        <v>8</v>
      </c>
      <c r="G4" s="18" t="s">
        <v>16</v>
      </c>
      <c r="H4" s="19" t="s">
        <v>15</v>
      </c>
    </row>
    <row r="5" spans="2:8" ht="18.5" thickTop="1" x14ac:dyDescent="0.55000000000000004">
      <c r="C5" s="11" t="s">
        <v>1</v>
      </c>
      <c r="D5" s="12" t="s">
        <v>2</v>
      </c>
      <c r="E5" s="13"/>
      <c r="F5" s="14"/>
      <c r="G5" s="14"/>
      <c r="H5" s="15"/>
    </row>
    <row r="6" spans="2:8" x14ac:dyDescent="0.55000000000000004">
      <c r="C6" s="3" t="s">
        <v>3</v>
      </c>
      <c r="D6" s="4" t="s">
        <v>4</v>
      </c>
      <c r="E6" s="5"/>
      <c r="F6" s="6"/>
      <c r="G6" s="20"/>
      <c r="H6" s="21"/>
    </row>
    <row r="7" spans="2:8" ht="18.5" thickBot="1" x14ac:dyDescent="0.6">
      <c r="C7" s="36" t="s">
        <v>5</v>
      </c>
      <c r="D7" s="37"/>
      <c r="E7" s="9"/>
      <c r="F7" s="8"/>
      <c r="G7" s="8"/>
      <c r="H7" s="10"/>
    </row>
    <row r="8" spans="2:8" ht="19" thickTop="1" thickBot="1" x14ac:dyDescent="0.6"/>
    <row r="9" spans="2:8" ht="19" thickTop="1" thickBot="1" x14ac:dyDescent="0.6">
      <c r="D9" s="1" t="s">
        <v>17</v>
      </c>
      <c r="E9" s="2"/>
    </row>
    <row r="10" spans="2:8" ht="18.5" thickTop="1" x14ac:dyDescent="0.55000000000000004"/>
  </sheetData>
  <mergeCells count="2">
    <mergeCell ref="C4:D4"/>
    <mergeCell ref="C7:D7"/>
  </mergeCells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E3143-6922-4E0C-A527-7E25B49A9D97}">
  <dimension ref="B2:H13"/>
  <sheetViews>
    <sheetView showGridLines="0" workbookViewId="0"/>
  </sheetViews>
  <sheetFormatPr defaultRowHeight="18" x14ac:dyDescent="0.55000000000000004"/>
  <cols>
    <col min="4" max="4" width="18.25" bestFit="1" customWidth="1"/>
    <col min="5" max="5" width="13.4140625" bestFit="1" customWidth="1"/>
    <col min="6" max="6" width="10.1640625" bestFit="1" customWidth="1"/>
    <col min="7" max="7" width="28.4140625" customWidth="1"/>
    <col min="8" max="8" width="10.1640625" bestFit="1" customWidth="1"/>
  </cols>
  <sheetData>
    <row r="2" spans="2:8" x14ac:dyDescent="0.55000000000000004">
      <c r="B2" t="s">
        <v>18</v>
      </c>
    </row>
    <row r="3" spans="2:8" ht="18.5" thickBot="1" x14ac:dyDescent="0.6"/>
    <row r="4" spans="2:8" ht="18.5" thickTop="1" x14ac:dyDescent="0.55000000000000004">
      <c r="D4" s="24" t="s">
        <v>23</v>
      </c>
      <c r="E4" s="53">
        <f>1/100000</f>
        <v>1.0000000000000001E-5</v>
      </c>
    </row>
    <row r="5" spans="2:8" ht="18.5" thickBot="1" x14ac:dyDescent="0.6">
      <c r="D5" s="26" t="s">
        <v>24</v>
      </c>
      <c r="E5" s="10">
        <v>0.01</v>
      </c>
    </row>
    <row r="6" spans="2:8" ht="19" thickTop="1" thickBot="1" x14ac:dyDescent="0.6"/>
    <row r="7" spans="2:8" ht="19" thickTop="1" thickBot="1" x14ac:dyDescent="0.6">
      <c r="C7" s="16" t="s">
        <v>6</v>
      </c>
      <c r="D7" s="17"/>
      <c r="E7" s="18" t="s">
        <v>7</v>
      </c>
      <c r="F7" s="27" t="s">
        <v>15</v>
      </c>
      <c r="G7" s="18" t="s">
        <v>8</v>
      </c>
      <c r="H7" s="19" t="s">
        <v>15</v>
      </c>
    </row>
    <row r="8" spans="2:8" ht="18.5" thickTop="1" x14ac:dyDescent="0.55000000000000004">
      <c r="C8" s="11" t="s">
        <v>1</v>
      </c>
      <c r="D8" s="12" t="s">
        <v>2</v>
      </c>
      <c r="E8" s="41" t="s">
        <v>19</v>
      </c>
      <c r="F8" s="50">
        <f>H8+H9</f>
        <v>1.0009800000000001E-2</v>
      </c>
      <c r="G8" s="13" t="s">
        <v>21</v>
      </c>
      <c r="H8" s="51">
        <f>(E4*(1-E5))</f>
        <v>9.9000000000000001E-6</v>
      </c>
    </row>
    <row r="9" spans="2:8" x14ac:dyDescent="0.55000000000000004">
      <c r="C9" s="32"/>
      <c r="D9" s="33"/>
      <c r="E9" s="34"/>
      <c r="F9" s="35"/>
      <c r="G9" s="22" t="s">
        <v>22</v>
      </c>
      <c r="H9" s="52">
        <f>(1-E4)*E5</f>
        <v>9.9999000000000008E-3</v>
      </c>
    </row>
    <row r="10" spans="2:8" ht="18.5" thickBot="1" x14ac:dyDescent="0.6">
      <c r="C10" s="36" t="s">
        <v>5</v>
      </c>
      <c r="D10" s="37"/>
      <c r="E10" s="49" t="s">
        <v>20</v>
      </c>
      <c r="F10" s="48">
        <f>H8</f>
        <v>9.9000000000000001E-6</v>
      </c>
      <c r="G10" s="30"/>
      <c r="H10" s="31"/>
    </row>
    <row r="11" spans="2:8" ht="19" thickTop="1" thickBot="1" x14ac:dyDescent="0.6"/>
    <row r="12" spans="2:8" ht="19" thickTop="1" thickBot="1" x14ac:dyDescent="0.6">
      <c r="D12" s="1" t="s">
        <v>17</v>
      </c>
      <c r="E12" s="47">
        <f>F10/F8</f>
        <v>9.8903074986513213E-4</v>
      </c>
    </row>
    <row r="13" spans="2:8" ht="18.5" thickTop="1" x14ac:dyDescent="0.55000000000000004"/>
  </sheetData>
  <mergeCells count="2">
    <mergeCell ref="C7:D7"/>
    <mergeCell ref="C10:D10"/>
  </mergeCells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3065A-C29E-4C6B-B7CE-9DA57AD8AE06}">
  <dimension ref="B2:H13"/>
  <sheetViews>
    <sheetView showGridLines="0" workbookViewId="0"/>
  </sheetViews>
  <sheetFormatPr defaultRowHeight="18" x14ac:dyDescent="0.55000000000000004"/>
  <cols>
    <col min="4" max="4" width="18.25" bestFit="1" customWidth="1"/>
    <col min="5" max="5" width="13.4140625" bestFit="1" customWidth="1"/>
    <col min="6" max="6" width="10.1640625" bestFit="1" customWidth="1"/>
    <col min="7" max="7" width="28.4140625" customWidth="1"/>
    <col min="8" max="8" width="10.1640625" bestFit="1" customWidth="1"/>
  </cols>
  <sheetData>
    <row r="2" spans="2:8" x14ac:dyDescent="0.55000000000000004">
      <c r="B2" t="s">
        <v>18</v>
      </c>
    </row>
    <row r="3" spans="2:8" ht="18.5" thickBot="1" x14ac:dyDescent="0.6"/>
    <row r="4" spans="2:8" ht="18.5" thickTop="1" x14ac:dyDescent="0.55000000000000004">
      <c r="D4" s="24" t="s">
        <v>23</v>
      </c>
      <c r="E4" s="25"/>
    </row>
    <row r="5" spans="2:8" ht="18.5" thickBot="1" x14ac:dyDescent="0.6">
      <c r="D5" s="26" t="s">
        <v>24</v>
      </c>
      <c r="E5" s="10">
        <v>0.01</v>
      </c>
    </row>
    <row r="6" spans="2:8" ht="19" thickTop="1" thickBot="1" x14ac:dyDescent="0.6"/>
    <row r="7" spans="2:8" ht="19" thickTop="1" thickBot="1" x14ac:dyDescent="0.6">
      <c r="C7" s="16" t="s">
        <v>6</v>
      </c>
      <c r="D7" s="17"/>
      <c r="E7" s="18" t="s">
        <v>7</v>
      </c>
      <c r="F7" s="27" t="s">
        <v>15</v>
      </c>
      <c r="G7" s="18" t="s">
        <v>8</v>
      </c>
      <c r="H7" s="19" t="s">
        <v>15</v>
      </c>
    </row>
    <row r="8" spans="2:8" ht="18.5" thickTop="1" x14ac:dyDescent="0.55000000000000004">
      <c r="C8" s="11" t="s">
        <v>1</v>
      </c>
      <c r="D8" s="12" t="s">
        <v>2</v>
      </c>
      <c r="E8" s="13"/>
      <c r="F8" s="28">
        <f>H8+H9</f>
        <v>0</v>
      </c>
      <c r="G8" s="13" t="s">
        <v>21</v>
      </c>
      <c r="H8" s="23"/>
    </row>
    <row r="9" spans="2:8" x14ac:dyDescent="0.55000000000000004">
      <c r="C9" s="32"/>
      <c r="D9" s="33"/>
      <c r="E9" s="34"/>
      <c r="F9" s="35"/>
      <c r="G9" s="22" t="s">
        <v>22</v>
      </c>
      <c r="H9" s="7"/>
    </row>
    <row r="10" spans="2:8" ht="18.5" thickBot="1" x14ac:dyDescent="0.6">
      <c r="C10" s="36" t="s">
        <v>5</v>
      </c>
      <c r="D10" s="37"/>
      <c r="E10" s="9"/>
      <c r="F10" s="29">
        <f>H8</f>
        <v>0</v>
      </c>
      <c r="G10" s="30"/>
      <c r="H10" s="31"/>
    </row>
    <row r="11" spans="2:8" ht="19" thickTop="1" thickBot="1" x14ac:dyDescent="0.6"/>
    <row r="12" spans="2:8" ht="19" thickTop="1" thickBot="1" x14ac:dyDescent="0.6">
      <c r="D12" s="1" t="s">
        <v>17</v>
      </c>
      <c r="E12" s="2"/>
    </row>
    <row r="13" spans="2:8" ht="18.5" thickTop="1" x14ac:dyDescent="0.55000000000000004"/>
  </sheetData>
  <mergeCells count="2">
    <mergeCell ref="C7:D7"/>
    <mergeCell ref="C10:D10"/>
  </mergeCells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解答_サイコロの出目</vt:lpstr>
      <vt:lpstr>サイコロの出目</vt:lpstr>
      <vt:lpstr>解答_判定検査</vt:lpstr>
      <vt:lpstr>判定検査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Ikegawa</dc:creator>
  <cp:lastModifiedBy>Maria Ikegawa</cp:lastModifiedBy>
  <dcterms:created xsi:type="dcterms:W3CDTF">2025-09-01T13:24:47Z</dcterms:created>
  <dcterms:modified xsi:type="dcterms:W3CDTF">2025-09-01T13:44:03Z</dcterms:modified>
</cp:coreProperties>
</file>