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4-2-Stats-B/Week03 確率と確率変数/"/>
    </mc:Choice>
  </mc:AlternateContent>
  <xr:revisionPtr revIDLastSave="0" documentId="8_{778F10FB-4CA2-964A-BBBE-CF83A3E01ADF}" xr6:coauthVersionLast="47" xr6:coauthVersionMax="47" xr10:uidLastSave="{00000000-0000-0000-0000-000000000000}"/>
  <bookViews>
    <workbookView xWindow="3660" yWindow="2660" windowWidth="27640" windowHeight="16940" xr2:uid="{66456757-1C3B-424E-8BF6-0EF1D546157A}"/>
  </bookViews>
  <sheets>
    <sheet name="04_確率と確率変数" sheetId="1" r:id="rId1"/>
  </sheets>
  <definedNames>
    <definedName name="_xlnm.Print_Area" localSheetId="0">'04_確率と確率変数'!$A$1:$IZ$37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" i="1" l="1"/>
  <c r="AJ5" i="1"/>
  <c r="AJ10" i="1"/>
  <c r="AJ11" i="1"/>
  <c r="AJ17" i="1"/>
  <c r="AJ20" i="1"/>
  <c r="AJ21" i="1"/>
  <c r="HH22" i="1"/>
  <c r="HN22" i="1" s="1"/>
  <c r="HK22" i="1"/>
  <c r="HK23" i="1"/>
  <c r="HK24" i="1"/>
  <c r="HK25" i="1"/>
  <c r="HK26" i="1"/>
  <c r="HH27" i="1"/>
  <c r="HN27" i="1" s="1"/>
  <c r="HK27" i="1"/>
  <c r="HK28" i="1"/>
  <c r="AE29" i="1"/>
  <c r="AL29" i="1"/>
  <c r="HK29" i="1"/>
  <c r="AL30" i="1"/>
  <c r="HE30" i="1"/>
  <c r="HH23" i="1" s="1"/>
  <c r="HN23" i="1" s="1"/>
  <c r="AE31" i="1"/>
  <c r="HH26" i="1" l="1"/>
  <c r="HN26" i="1" s="1"/>
  <c r="HH25" i="1"/>
  <c r="HN25" i="1" s="1"/>
  <c r="HH29" i="1"/>
  <c r="HN29" i="1" s="1"/>
  <c r="HH24" i="1"/>
  <c r="HN24" i="1" s="1"/>
  <c r="HH28" i="1"/>
  <c r="HN28" i="1" s="1"/>
  <c r="HH30" i="1" l="1"/>
  <c r="HN30" i="1" s="1"/>
</calcChain>
</file>

<file path=xl/sharedStrings.xml><?xml version="1.0" encoding="utf-8"?>
<sst xmlns="http://schemas.openxmlformats.org/spreadsheetml/2006/main" count="380" uniqueCount="232">
  <si>
    <t>定理を数式で表現したもの</t>
    <rPh sb="0" eb="2">
      <t>テイリ</t>
    </rPh>
    <rPh sb="3" eb="5">
      <t>スウシキ</t>
    </rPh>
    <rPh sb="6" eb="8">
      <t>ヒョウゲン</t>
    </rPh>
    <phoneticPr fontId="0"/>
  </si>
  <si>
    <t>⇒</t>
    <phoneticPr fontId="0"/>
  </si>
  <si>
    <t>a=1とする、など</t>
    <phoneticPr fontId="0"/>
  </si>
  <si>
    <t>確率変数は、事象を介して確率を付与された変数</t>
    <rPh sb="0" eb="2">
      <t>カクリツ</t>
    </rPh>
    <rPh sb="2" eb="4">
      <t>ヘンスウ</t>
    </rPh>
    <rPh sb="6" eb="8">
      <t>ジショウ</t>
    </rPh>
    <rPh sb="9" eb="10">
      <t>カイ</t>
    </rPh>
    <rPh sb="12" eb="14">
      <t>カクリツ</t>
    </rPh>
    <rPh sb="15" eb="17">
      <t>フヨ</t>
    </rPh>
    <rPh sb="20" eb="22">
      <t>ヘンスウ</t>
    </rPh>
    <phoneticPr fontId="0"/>
  </si>
  <si>
    <t>pp.41</t>
    <phoneticPr fontId="0"/>
  </si>
  <si>
    <t>[定義2]を代入すると導出できる</t>
    <rPh sb="1" eb="3">
      <t>テイギ</t>
    </rPh>
    <rPh sb="6" eb="8">
      <t>ダイニュウ</t>
    </rPh>
    <rPh sb="11" eb="13">
      <t>ドウシュツ</t>
    </rPh>
    <phoneticPr fontId="0"/>
  </si>
  <si>
    <t>状況を用語や記号で表現したもの</t>
    <rPh sb="0" eb="2">
      <t>ジョウキョウ</t>
    </rPh>
    <rPh sb="3" eb="5">
      <t>ヨウゴ</t>
    </rPh>
    <rPh sb="6" eb="8">
      <t>キゴウ</t>
    </rPh>
    <rPh sb="9" eb="11">
      <t>ヒョウゲン</t>
    </rPh>
    <phoneticPr fontId="0"/>
  </si>
  <si>
    <t>[定理2]の左辺に</t>
    <rPh sb="1" eb="3">
      <t>テイリ</t>
    </rPh>
    <rPh sb="6" eb="8">
      <t>サヘン</t>
    </rPh>
    <phoneticPr fontId="0"/>
  </si>
  <si>
    <t>約束事</t>
    <rPh sb="0" eb="3">
      <t>ヤクソクゴト</t>
    </rPh>
    <phoneticPr fontId="0"/>
  </si>
  <si>
    <t>Memo</t>
    <phoneticPr fontId="0"/>
  </si>
  <si>
    <t>@</t>
    <phoneticPr fontId="0"/>
  </si>
  <si>
    <t>確率の合計は1になることを確認！（pp.33公理（Ⅱ））</t>
    <rPh sb="0" eb="2">
      <t>カクリツ</t>
    </rPh>
    <rPh sb="3" eb="5">
      <t>ゴウケイ</t>
    </rPh>
    <rPh sb="13" eb="15">
      <t>カクニン</t>
    </rPh>
    <phoneticPr fontId="0"/>
  </si>
  <si>
    <t>※</t>
    <phoneticPr fontId="0"/>
  </si>
  <si>
    <t>[定理4]</t>
    <rPh sb="1" eb="3">
      <t>テイリ</t>
    </rPh>
    <phoneticPr fontId="0"/>
  </si>
  <si>
    <t>公理や定義から証明できる</t>
    <rPh sb="0" eb="2">
      <t>コウリ</t>
    </rPh>
    <rPh sb="3" eb="5">
      <t>テイギ</t>
    </rPh>
    <rPh sb="7" eb="9">
      <t>ショウメイ</t>
    </rPh>
    <phoneticPr fontId="0"/>
  </si>
  <si>
    <t>事象Aと事象Bとの関係を言葉で表現する</t>
    <rPh sb="0" eb="2">
      <t>ジショウ</t>
    </rPh>
    <rPh sb="4" eb="6">
      <t>ジショウ</t>
    </rPh>
    <rPh sb="9" eb="11">
      <t>カンケイ</t>
    </rPh>
    <rPh sb="12" eb="14">
      <t>コトバ</t>
    </rPh>
    <rPh sb="15" eb="17">
      <t>ヒョウゲン</t>
    </rPh>
    <phoneticPr fontId="0"/>
  </si>
  <si>
    <t>総数</t>
    <rPh sb="0" eb="2">
      <t>ソウスウ</t>
    </rPh>
    <phoneticPr fontId="0"/>
  </si>
  <si>
    <t>よくわからなくなったら、パターンを全部書き出してみる</t>
    <rPh sb="17" eb="19">
      <t>ゼンブ</t>
    </rPh>
    <rPh sb="19" eb="20">
      <t>カ</t>
    </rPh>
    <rPh sb="21" eb="22">
      <t>ダ</t>
    </rPh>
    <phoneticPr fontId="0"/>
  </si>
  <si>
    <t>同時確率は積として表現できる</t>
    <rPh sb="0" eb="2">
      <t>ドウジ</t>
    </rPh>
    <rPh sb="2" eb="4">
      <t>カクリツ</t>
    </rPh>
    <rPh sb="5" eb="6">
      <t>セキ</t>
    </rPh>
    <rPh sb="9" eb="11">
      <t>ヒョウゲン</t>
    </rPh>
    <phoneticPr fontId="0"/>
  </si>
  <si>
    <t>前提条件（公理）と定義に基づいて導き出されるもの</t>
    <rPh sb="0" eb="2">
      <t>ゼンテイ</t>
    </rPh>
    <rPh sb="2" eb="4">
      <t>ジョウケン</t>
    </rPh>
    <rPh sb="5" eb="7">
      <t>コウリ</t>
    </rPh>
    <rPh sb="9" eb="11">
      <t>テイギ</t>
    </rPh>
    <rPh sb="12" eb="13">
      <t>モト</t>
    </rPh>
    <rPh sb="16" eb="17">
      <t>ミチビ</t>
    </rPh>
    <rPh sb="18" eb="19">
      <t>ダ</t>
    </rPh>
    <phoneticPr fontId="0"/>
  </si>
  <si>
    <t>}</t>
    <phoneticPr fontId="0"/>
  </si>
  <si>
    <t>積事象</t>
    <rPh sb="0" eb="1">
      <t>セキ</t>
    </rPh>
    <rPh sb="1" eb="3">
      <t>ジショウ</t>
    </rPh>
    <phoneticPr fontId="0"/>
  </si>
  <si>
    <t>事象Aと事象Bは</t>
    <rPh sb="0" eb="2">
      <t>ジショウ</t>
    </rPh>
    <rPh sb="4" eb="6">
      <t>ジショウ</t>
    </rPh>
    <phoneticPr fontId="0"/>
  </si>
  <si>
    <t>裏</t>
    <rPh sb="0" eb="1">
      <t>ウラ</t>
    </rPh>
    <phoneticPr fontId="0"/>
  </si>
  <si>
    <t>証明は必要なし</t>
    <rPh sb="0" eb="2">
      <t>ショウメイ</t>
    </rPh>
    <rPh sb="3" eb="5">
      <t>ヒツヨウ</t>
    </rPh>
    <phoneticPr fontId="0"/>
  </si>
  <si>
    <t>和事象</t>
    <rPh sb="0" eb="1">
      <t>ワ</t>
    </rPh>
    <rPh sb="1" eb="3">
      <t>ジショウ</t>
    </rPh>
    <phoneticPr fontId="0"/>
  </si>
  <si>
    <t>表と裏が同時に出ることはないため</t>
    <rPh sb="0" eb="1">
      <t>オモテ</t>
    </rPh>
    <rPh sb="2" eb="3">
      <t>ウラ</t>
    </rPh>
    <rPh sb="4" eb="6">
      <t>ドウジ</t>
    </rPh>
    <rPh sb="7" eb="8">
      <t>デ</t>
    </rPh>
    <phoneticPr fontId="0"/>
  </si>
  <si>
    <t>表</t>
    <rPh sb="0" eb="1">
      <t>オモテ</t>
    </rPh>
    <phoneticPr fontId="0"/>
  </si>
  <si>
    <t>[定義2]</t>
    <rPh sb="1" eb="3">
      <t>テイギ</t>
    </rPh>
    <phoneticPr fontId="0"/>
  </si>
  <si>
    <t>絶対的に正しい</t>
    <rPh sb="0" eb="3">
      <t>ゼッタイテキ</t>
    </rPh>
    <rPh sb="4" eb="5">
      <t>タダ</t>
    </rPh>
    <phoneticPr fontId="0"/>
  </si>
  <si>
    <t>事象B：出た目が1</t>
    <rPh sb="0" eb="2">
      <t>ジショウ</t>
    </rPh>
    <rPh sb="4" eb="5">
      <t>デ</t>
    </rPh>
    <rPh sb="6" eb="7">
      <t>メ</t>
    </rPh>
    <phoneticPr fontId="0"/>
  </si>
  <si>
    <t>コイン投げで表⇒事象A、裏⇒事象Bとすると、</t>
    <rPh sb="3" eb="4">
      <t>ナ</t>
    </rPh>
    <rPh sb="6" eb="7">
      <t>オモテ</t>
    </rPh>
    <rPh sb="8" eb="10">
      <t>ジショウ</t>
    </rPh>
    <rPh sb="12" eb="13">
      <t>ウラ</t>
    </rPh>
    <rPh sb="14" eb="16">
      <t>ジショウ</t>
    </rPh>
    <phoneticPr fontId="0"/>
  </si>
  <si>
    <t>：</t>
    <phoneticPr fontId="0"/>
  </si>
  <si>
    <t>例</t>
    <rPh sb="0" eb="1">
      <t>レイ</t>
    </rPh>
    <phoneticPr fontId="0"/>
  </si>
  <si>
    <r>
      <t>抽出される確率は</t>
    </r>
    <r>
      <rPr>
        <sz val="12"/>
        <color rgb="FF0070C0"/>
        <rFont val="メイリオ"/>
        <family val="3"/>
        <charset val="128"/>
      </rPr>
      <t>0.13</t>
    </r>
  </si>
  <si>
    <t>事象Bの起こる確率が事象Aの結果に全く影響を受けない</t>
    <rPh sb="0" eb="2">
      <t>ジショウ</t>
    </rPh>
    <rPh sb="4" eb="5">
      <t>オ</t>
    </rPh>
    <rPh sb="7" eb="9">
      <t>カクリツ</t>
    </rPh>
    <rPh sb="10" eb="12">
      <t>ジショウ</t>
    </rPh>
    <rPh sb="14" eb="16">
      <t>ケッカ</t>
    </rPh>
    <rPh sb="17" eb="18">
      <t>マッタ</t>
    </rPh>
    <rPh sb="19" eb="21">
      <t>エイキョウ</t>
    </rPh>
    <rPh sb="22" eb="23">
      <t>ウ</t>
    </rPh>
    <phoneticPr fontId="0"/>
  </si>
  <si>
    <t>（一つの体系の中で）前提条件となる仮定</t>
    <rPh sb="1" eb="2">
      <t>ヒト</t>
    </rPh>
    <rPh sb="4" eb="6">
      <t>タイケイ</t>
    </rPh>
    <rPh sb="7" eb="8">
      <t>ナカ</t>
    </rPh>
    <rPh sb="10" eb="12">
      <t>ゼンテイ</t>
    </rPh>
    <rPh sb="12" eb="14">
      <t>ジョウケン</t>
    </rPh>
    <rPh sb="17" eb="19">
      <t>カテイ</t>
    </rPh>
    <phoneticPr fontId="0"/>
  </si>
  <si>
    <t>事象A：出た目が4以上</t>
    <rPh sb="0" eb="2">
      <t>ジショウ</t>
    </rPh>
    <rPh sb="4" eb="5">
      <t>デ</t>
    </rPh>
    <rPh sb="6" eb="7">
      <t>メ</t>
    </rPh>
    <rPh sb="9" eb="11">
      <t>イジョウ</t>
    </rPh>
    <phoneticPr fontId="0"/>
  </si>
  <si>
    <t>来店頻度0回/週の人が</t>
    <rPh sb="0" eb="2">
      <t>ライテン</t>
    </rPh>
    <rPh sb="2" eb="4">
      <t>ヒンド</t>
    </rPh>
    <rPh sb="5" eb="6">
      <t>カイ</t>
    </rPh>
    <rPh sb="7" eb="8">
      <t>シュウ</t>
    </rPh>
    <rPh sb="9" eb="10">
      <t>ヒト</t>
    </rPh>
    <phoneticPr fontId="0"/>
  </si>
  <si>
    <t>事象の独立性</t>
    <rPh sb="0" eb="2">
      <t>ジショウ</t>
    </rPh>
    <rPh sb="3" eb="6">
      <t>ドクリツセイ</t>
    </rPh>
    <phoneticPr fontId="0"/>
  </si>
  <si>
    <t>pp.36</t>
    <phoneticPr fontId="0"/>
  </si>
  <si>
    <t>濃色部分（Pr(A∩B)）を引く</t>
    <rPh sb="0" eb="1">
      <t>コ</t>
    </rPh>
    <rPh sb="1" eb="2">
      <t>イロ</t>
    </rPh>
    <rPh sb="2" eb="4">
      <t>ブブン</t>
    </rPh>
    <rPh sb="14" eb="15">
      <t>ヒ</t>
    </rPh>
    <phoneticPr fontId="0"/>
  </si>
  <si>
    <t>とする。</t>
    <phoneticPr fontId="0"/>
  </si>
  <si>
    <t>サイコロ投げによる全事象を</t>
    <rPh sb="4" eb="5">
      <t>ナ</t>
    </rPh>
    <rPh sb="9" eb="10">
      <t>ゼン</t>
    </rPh>
    <rPh sb="10" eb="12">
      <t>ジショウ</t>
    </rPh>
    <phoneticPr fontId="0"/>
  </si>
  <si>
    <t>積事象が空事象であること</t>
    <rPh sb="0" eb="1">
      <t>セキ</t>
    </rPh>
    <rPh sb="1" eb="3">
      <t>ジショウ</t>
    </rPh>
    <rPh sb="4" eb="5">
      <t>クウ</t>
    </rPh>
    <rPh sb="5" eb="7">
      <t>ジショウ</t>
    </rPh>
    <phoneticPr fontId="0"/>
  </si>
  <si>
    <t>抽出したときに</t>
    <rPh sb="0" eb="2">
      <t>チュウシュツ</t>
    </rPh>
    <phoneticPr fontId="0"/>
  </si>
  <si>
    <t>条件確率</t>
    <rPh sb="0" eb="2">
      <t>ジョウケン</t>
    </rPh>
    <rPh sb="2" eb="4">
      <t>カクリツ</t>
    </rPh>
    <phoneticPr fontId="0"/>
  </si>
  <si>
    <t>公理・定理・定義</t>
    <rPh sb="0" eb="2">
      <t>コウリ</t>
    </rPh>
    <rPh sb="3" eb="5">
      <t>テイリ</t>
    </rPh>
    <rPh sb="6" eb="8">
      <t>テイギ</t>
    </rPh>
    <phoneticPr fontId="0"/>
  </si>
  <si>
    <t>円A（Pr(A)）と円B（Pr(B)）の合計から</t>
    <rPh sb="0" eb="1">
      <t>エン</t>
    </rPh>
    <rPh sb="10" eb="11">
      <t>エン</t>
    </rPh>
    <rPh sb="20" eb="22">
      <t>ゴウケイ</t>
    </rPh>
    <phoneticPr fontId="0"/>
  </si>
  <si>
    <t>記号による事象の表現</t>
    <rPh sb="0" eb="2">
      <t>キゴウ</t>
    </rPh>
    <rPh sb="5" eb="7">
      <t>ジショウ</t>
    </rPh>
    <rPh sb="8" eb="10">
      <t>ヒョウゲン</t>
    </rPh>
    <phoneticPr fontId="0"/>
  </si>
  <si>
    <t>問題3-1</t>
    <rPh sb="0" eb="2">
      <t>モンダイ</t>
    </rPh>
    <phoneticPr fontId="0"/>
  </si>
  <si>
    <t>pp.32</t>
    <phoneticPr fontId="0"/>
  </si>
  <si>
    <t>母集団からランダムに1人を</t>
    <rPh sb="0" eb="3">
      <t>ボシュウダン</t>
    </rPh>
    <rPh sb="11" eb="12">
      <t>ヒト</t>
    </rPh>
    <phoneticPr fontId="0"/>
  </si>
  <si>
    <t>事象B（Bの円）を①と②に分けて、確率の乗法定理を代入</t>
    <rPh sb="0" eb="2">
      <t>ジショウ</t>
    </rPh>
    <rPh sb="6" eb="7">
      <t>エン</t>
    </rPh>
    <rPh sb="13" eb="14">
      <t>ワ</t>
    </rPh>
    <rPh sb="17" eb="19">
      <t>カクリツ</t>
    </rPh>
    <rPh sb="20" eb="22">
      <t>ジョウホウ</t>
    </rPh>
    <rPh sb="22" eb="24">
      <t>テイリ</t>
    </rPh>
    <rPh sb="25" eb="27">
      <t>ダイニュウ</t>
    </rPh>
    <phoneticPr fontId="0"/>
  </si>
  <si>
    <t>定義は困難</t>
    <rPh sb="0" eb="2">
      <t>テイギ</t>
    </rPh>
    <rPh sb="3" eb="5">
      <t>コンナン</t>
    </rPh>
    <phoneticPr fontId="0"/>
  </si>
  <si>
    <t>④</t>
    <phoneticPr fontId="0"/>
  </si>
  <si>
    <t>事象B</t>
    <rPh sb="0" eb="2">
      <t>ジショウ</t>
    </rPh>
    <phoneticPr fontId="0"/>
  </si>
  <si>
    <t>事象A</t>
    <rPh sb="0" eb="2">
      <t>ジショウ</t>
    </rPh>
    <phoneticPr fontId="0"/>
  </si>
  <si>
    <t>試行できない場合や事象がめったに起こらない場合には</t>
    <rPh sb="0" eb="2">
      <t>シコウ</t>
    </rPh>
    <rPh sb="6" eb="8">
      <t>バアイ</t>
    </rPh>
    <rPh sb="9" eb="11">
      <t>ジショウ</t>
    </rPh>
    <rPh sb="16" eb="17">
      <t>オ</t>
    </rPh>
    <rPh sb="21" eb="23">
      <t>バアイ</t>
    </rPh>
    <phoneticPr fontId="0"/>
  </si>
  <si>
    <t>ならば</t>
    <phoneticPr fontId="0"/>
  </si>
  <si>
    <t>事象Aと事象Bがともに起こること</t>
    <rPh sb="0" eb="2">
      <t>ジショウ</t>
    </rPh>
    <rPh sb="4" eb="6">
      <t>ジショウ</t>
    </rPh>
    <rPh sb="11" eb="12">
      <t>オ</t>
    </rPh>
    <phoneticPr fontId="0"/>
  </si>
  <si>
    <t>定義することができる</t>
    <rPh sb="0" eb="2">
      <t>テイギ</t>
    </rPh>
    <phoneticPr fontId="0"/>
  </si>
  <si>
    <t>本当に罹患していて、検査が正しい</t>
    <rPh sb="0" eb="2">
      <t>ホントウ</t>
    </rPh>
    <rPh sb="3" eb="5">
      <t>リカン</t>
    </rPh>
    <rPh sb="10" eb="12">
      <t>ケンサ</t>
    </rPh>
    <rPh sb="13" eb="14">
      <t>タダ</t>
    </rPh>
    <phoneticPr fontId="0"/>
  </si>
  <si>
    <t>同時確率</t>
    <rPh sb="0" eb="2">
      <t>ドウジ</t>
    </rPh>
    <rPh sb="2" eb="4">
      <t>カクリツ</t>
    </rPh>
    <phoneticPr fontId="0"/>
  </si>
  <si>
    <t>客観確率</t>
    <rPh sb="0" eb="2">
      <t>キャッカン</t>
    </rPh>
    <rPh sb="2" eb="4">
      <t>カクリツ</t>
    </rPh>
    <phoneticPr fontId="0"/>
  </si>
  <si>
    <t>事象Bが事象Aに含まれるならば、すなわち</t>
    <rPh sb="0" eb="2">
      <t>ジショウ</t>
    </rPh>
    <rPh sb="4" eb="6">
      <t>ジショウ</t>
    </rPh>
    <rPh sb="8" eb="9">
      <t>フク</t>
    </rPh>
    <phoneticPr fontId="0"/>
  </si>
  <si>
    <t>③</t>
    <phoneticPr fontId="0"/>
  </si>
  <si>
    <t>積事象が空事象φではないため</t>
    <rPh sb="0" eb="1">
      <t>セキ</t>
    </rPh>
    <rPh sb="1" eb="3">
      <t>ジショウ</t>
    </rPh>
    <rPh sb="4" eb="5">
      <t>カラ</t>
    </rPh>
    <rPh sb="5" eb="7">
      <t>ジショウ</t>
    </rPh>
    <phoneticPr fontId="0"/>
  </si>
  <si>
    <t>来店頻度kを確率変数Xと</t>
    <rPh sb="0" eb="2">
      <t>ライテン</t>
    </rPh>
    <rPh sb="2" eb="4">
      <t>ヒンド</t>
    </rPh>
    <rPh sb="6" eb="8">
      <t>カクリツ</t>
    </rPh>
    <rPh sb="8" eb="10">
      <t>ヘンスウ</t>
    </rPh>
    <phoneticPr fontId="0"/>
  </si>
  <si>
    <t>3回目</t>
    <rPh sb="1" eb="3">
      <t>カイメ</t>
    </rPh>
    <phoneticPr fontId="0"/>
  </si>
  <si>
    <t>2回目</t>
    <rPh sb="1" eb="3">
      <t>カイメ</t>
    </rPh>
    <phoneticPr fontId="0"/>
  </si>
  <si>
    <t>1回目</t>
    <rPh sb="1" eb="3">
      <t>カイメ</t>
    </rPh>
    <phoneticPr fontId="0"/>
  </si>
  <si>
    <t>X</t>
    <phoneticPr fontId="0"/>
  </si>
  <si>
    <t>罹患していないのに、検査が誤る</t>
    <rPh sb="0" eb="2">
      <t>リカン</t>
    </rPh>
    <rPh sb="10" eb="12">
      <t>ケンサ</t>
    </rPh>
    <rPh sb="13" eb="14">
      <t>アヤマ</t>
    </rPh>
    <phoneticPr fontId="0"/>
  </si>
  <si>
    <t>相対度数を確率として定義した確率</t>
    <rPh sb="0" eb="2">
      <t>ソウタイ</t>
    </rPh>
    <rPh sb="2" eb="4">
      <t>ドスウ</t>
    </rPh>
    <rPh sb="5" eb="7">
      <t>カクリツ</t>
    </rPh>
    <rPh sb="10" eb="12">
      <t>テイギ</t>
    </rPh>
    <rPh sb="14" eb="16">
      <t>カクリツ</t>
    </rPh>
    <phoneticPr fontId="0"/>
  </si>
  <si>
    <t>（A以外の確率）＝（全体＝１）－（Aの確率）</t>
    <rPh sb="2" eb="4">
      <t>イガイ</t>
    </rPh>
    <rPh sb="5" eb="7">
      <t>カクリツ</t>
    </rPh>
    <rPh sb="10" eb="12">
      <t>ゼンタイ</t>
    </rPh>
    <rPh sb="19" eb="21">
      <t>カクリツ</t>
    </rPh>
    <phoneticPr fontId="0"/>
  </si>
  <si>
    <t>（経験確率の考え方）</t>
    <rPh sb="1" eb="3">
      <t>ケイケン</t>
    </rPh>
    <rPh sb="3" eb="5">
      <t>カクリツ</t>
    </rPh>
    <rPh sb="6" eb="7">
      <t>カンガ</t>
    </rPh>
    <rPh sb="8" eb="9">
      <t>カタ</t>
    </rPh>
    <phoneticPr fontId="0"/>
  </si>
  <si>
    <t>確率</t>
    <rPh sb="0" eb="2">
      <t>カクリツ</t>
    </rPh>
    <phoneticPr fontId="0"/>
  </si>
  <si>
    <t>結果</t>
    <rPh sb="0" eb="2">
      <t>ケッカ</t>
    </rPh>
    <phoneticPr fontId="0"/>
  </si>
  <si>
    <t>確率変数</t>
    <rPh sb="0" eb="2">
      <t>カクリツ</t>
    </rPh>
    <rPh sb="2" eb="4">
      <t>ヘンスウ</t>
    </rPh>
    <phoneticPr fontId="0"/>
  </si>
  <si>
    <t>②</t>
    <phoneticPr fontId="0"/>
  </si>
  <si>
    <t>①</t>
    <phoneticPr fontId="0"/>
  </si>
  <si>
    <t>相対度数がある値に近づいていくならば</t>
    <rPh sb="0" eb="2">
      <t>ソウタイ</t>
    </rPh>
    <rPh sb="2" eb="4">
      <t>ドスウ</t>
    </rPh>
    <rPh sb="7" eb="8">
      <t>アタイ</t>
    </rPh>
    <rPh sb="9" eb="10">
      <t>チカ</t>
    </rPh>
    <phoneticPr fontId="0"/>
  </si>
  <si>
    <t>事象Aと事象Bの少なくとも1つの事象が起こること</t>
    <rPh sb="0" eb="2">
      <t>ジショウ</t>
    </rPh>
    <rPh sb="4" eb="6">
      <t>ジショウ</t>
    </rPh>
    <rPh sb="8" eb="9">
      <t>スク</t>
    </rPh>
    <rPh sb="16" eb="18">
      <t>ジショウ</t>
    </rPh>
    <rPh sb="19" eb="20">
      <t>オ</t>
    </rPh>
    <phoneticPr fontId="0"/>
  </si>
  <si>
    <t>相対度数を確率として考えると</t>
    <rPh sb="0" eb="2">
      <t>ソウタイ</t>
    </rPh>
    <rPh sb="2" eb="4">
      <t>ドスウ</t>
    </rPh>
    <rPh sb="5" eb="7">
      <t>カクリツ</t>
    </rPh>
    <rPh sb="10" eb="11">
      <t>カンガ</t>
    </rPh>
    <phoneticPr fontId="0"/>
  </si>
  <si>
    <t>相対度数</t>
    <rPh sb="0" eb="2">
      <t>ソウタイ</t>
    </rPh>
    <rPh sb="2" eb="4">
      <t>ドスウ</t>
    </rPh>
    <phoneticPr fontId="0"/>
  </si>
  <si>
    <t>度数</t>
    <rPh sb="0" eb="2">
      <t>ドスウ</t>
    </rPh>
    <phoneticPr fontId="0"/>
  </si>
  <si>
    <t>来店頻度</t>
    <rPh sb="0" eb="2">
      <t>ライテン</t>
    </rPh>
    <rPh sb="2" eb="4">
      <t>ヒンド</t>
    </rPh>
    <phoneticPr fontId="0"/>
  </si>
  <si>
    <t>陽性反応が出るパターン</t>
    <rPh sb="0" eb="2">
      <t>ヨウセイ</t>
    </rPh>
    <rPh sb="2" eb="4">
      <t>ハンノウ</t>
    </rPh>
    <rPh sb="5" eb="6">
      <t>デ</t>
    </rPh>
    <phoneticPr fontId="0"/>
  </si>
  <si>
    <t>ヒント：</t>
    <phoneticPr fontId="0"/>
  </si>
  <si>
    <t>試行の数を十分大きくしたときに</t>
    <rPh sb="0" eb="2">
      <t>シコウ</t>
    </rPh>
    <rPh sb="3" eb="4">
      <t>カズ</t>
    </rPh>
    <rPh sb="5" eb="7">
      <t>ジュウブン</t>
    </rPh>
    <rPh sb="7" eb="8">
      <t>オオ</t>
    </rPh>
    <phoneticPr fontId="0"/>
  </si>
  <si>
    <t>【重要】</t>
    <rPh sb="1" eb="3">
      <t>ジュウヨウ</t>
    </rPh>
    <phoneticPr fontId="0"/>
  </si>
  <si>
    <t>空事象はゼロ</t>
    <rPh sb="0" eb="1">
      <t>クウ</t>
    </rPh>
    <rPh sb="1" eb="3">
      <t>ジショウ</t>
    </rPh>
    <phoneticPr fontId="0"/>
  </si>
  <si>
    <t>と書く</t>
    <rPh sb="1" eb="2">
      <t>カ</t>
    </rPh>
    <phoneticPr fontId="0"/>
  </si>
  <si>
    <r>
      <t>根元事象をω</t>
    </r>
    <r>
      <rPr>
        <vertAlign val="subscript"/>
        <sz val="11"/>
        <color theme="1"/>
        <rFont val="メイリオ"/>
        <family val="3"/>
        <charset val="128"/>
      </rPr>
      <t>i</t>
    </r>
    <r>
      <rPr>
        <sz val="12"/>
        <color theme="1"/>
        <rFont val="メイリオ"/>
        <family val="3"/>
        <charset val="128"/>
      </rPr>
      <t>で表し</t>
    </r>
  </si>
  <si>
    <t>φ（ファイ）で表す</t>
    <rPh sb="7" eb="8">
      <t>アラワ</t>
    </rPh>
    <phoneticPr fontId="0"/>
  </si>
  <si>
    <t>確率が付与された変数</t>
    <rPh sb="0" eb="2">
      <t>カクリツ</t>
    </rPh>
    <rPh sb="3" eb="5">
      <t>フヨ</t>
    </rPh>
    <rPh sb="8" eb="10">
      <t>ヘンスウ</t>
    </rPh>
    <phoneticPr fontId="0"/>
  </si>
  <si>
    <t>[定理4]を利用</t>
    <rPh sb="6" eb="8">
      <t>リヨウ</t>
    </rPh>
    <phoneticPr fontId="0"/>
  </si>
  <si>
    <t>[定理3]</t>
    <rPh sb="1" eb="3">
      <t>テイリ</t>
    </rPh>
    <phoneticPr fontId="0"/>
  </si>
  <si>
    <t>コイン投げをn回行う</t>
    <rPh sb="3" eb="4">
      <t>ナ</t>
    </rPh>
    <rPh sb="7" eb="8">
      <t>カイ</t>
    </rPh>
    <rPh sb="8" eb="9">
      <t>オコナ</t>
    </rPh>
    <phoneticPr fontId="0"/>
  </si>
  <si>
    <t>全事象は根元事象すべての集合として表すことができる</t>
    <rPh sb="0" eb="1">
      <t>ゼン</t>
    </rPh>
    <rPh sb="1" eb="3">
      <t>ジショウ</t>
    </rPh>
    <rPh sb="4" eb="6">
      <t>コンゲン</t>
    </rPh>
    <rPh sb="6" eb="8">
      <t>ジショウ</t>
    </rPh>
    <rPh sb="12" eb="14">
      <t>シュウゴウ</t>
    </rPh>
    <rPh sb="17" eb="18">
      <t>アラワ</t>
    </rPh>
    <phoneticPr fontId="0"/>
  </si>
  <si>
    <t>事象が何も起こらないこと</t>
    <rPh sb="0" eb="2">
      <t>ジショウ</t>
    </rPh>
    <rPh sb="3" eb="4">
      <t>ナニ</t>
    </rPh>
    <rPh sb="5" eb="6">
      <t>オ</t>
    </rPh>
    <phoneticPr fontId="0"/>
  </si>
  <si>
    <t>母集団の分布がわかっている場合を想定する</t>
    <rPh sb="0" eb="3">
      <t>ボシュウダン</t>
    </rPh>
    <rPh sb="4" eb="6">
      <t>ブンプ</t>
    </rPh>
    <rPh sb="13" eb="15">
      <t>バアイ</t>
    </rPh>
    <rPh sb="16" eb="18">
      <t>ソウテイ</t>
    </rPh>
    <phoneticPr fontId="0"/>
  </si>
  <si>
    <t>┗</t>
    <phoneticPr fontId="0"/>
  </si>
  <si>
    <t>独立なので、3回のコイン投げの積として表現できる</t>
    <rPh sb="0" eb="2">
      <t>ドクリツ</t>
    </rPh>
    <rPh sb="7" eb="8">
      <t>カイ</t>
    </rPh>
    <rPh sb="12" eb="13">
      <t>ナ</t>
    </rPh>
    <rPh sb="15" eb="16">
      <t>セキ</t>
    </rPh>
    <rPh sb="19" eb="21">
      <t>ヒョウゲン</t>
    </rPh>
    <phoneticPr fontId="0"/>
  </si>
  <si>
    <t>事象Bの書き換え</t>
    <rPh sb="0" eb="2">
      <t>ジショウ</t>
    </rPh>
    <rPh sb="4" eb="5">
      <t>カ</t>
    </rPh>
    <rPh sb="6" eb="7">
      <t>カ</t>
    </rPh>
    <phoneticPr fontId="0"/>
  </si>
  <si>
    <t>同じ条件のもとで繰り返し実験を行うこと</t>
    <rPh sb="0" eb="1">
      <t>オナ</t>
    </rPh>
    <rPh sb="2" eb="4">
      <t>ジョウケン</t>
    </rPh>
    <rPh sb="8" eb="9">
      <t>ク</t>
    </rPh>
    <rPh sb="10" eb="11">
      <t>カエ</t>
    </rPh>
    <rPh sb="12" eb="14">
      <t>ジッケン</t>
    </rPh>
    <rPh sb="15" eb="16">
      <t>オコナ</t>
    </rPh>
    <phoneticPr fontId="0"/>
  </si>
  <si>
    <t>[定理1]</t>
    <rPh sb="1" eb="3">
      <t>テイリ</t>
    </rPh>
    <phoneticPr fontId="0"/>
  </si>
  <si>
    <t>確率の公理から導かれる定理</t>
    <rPh sb="0" eb="2">
      <t>カクリツ</t>
    </rPh>
    <rPh sb="3" eb="5">
      <t>コウリ</t>
    </rPh>
    <rPh sb="7" eb="8">
      <t>ミチビ</t>
    </rPh>
    <rPh sb="11" eb="13">
      <t>テイリ</t>
    </rPh>
    <phoneticPr fontId="0"/>
  </si>
  <si>
    <t>試行できない場合やめったに起こらない場合は困難</t>
    <rPh sb="0" eb="2">
      <t>シコウ</t>
    </rPh>
    <rPh sb="6" eb="8">
      <t>バアイ</t>
    </rPh>
    <rPh sb="13" eb="14">
      <t>オ</t>
    </rPh>
    <rPh sb="18" eb="20">
      <t>バアイ</t>
    </rPh>
    <rPh sb="21" eb="23">
      <t>コンナン</t>
    </rPh>
    <phoneticPr fontId="0"/>
  </si>
  <si>
    <t>母集団が有限母集団の場合の確率変数</t>
    <rPh sb="0" eb="3">
      <t>ボシュウダン</t>
    </rPh>
    <rPh sb="4" eb="6">
      <t>ユウゲン</t>
    </rPh>
    <rPh sb="6" eb="9">
      <t>ボシュウダン</t>
    </rPh>
    <rPh sb="10" eb="12">
      <t>バアイ</t>
    </rPh>
    <rPh sb="13" eb="15">
      <t>カクリツ</t>
    </rPh>
    <rPh sb="15" eb="17">
      <t>ヘンスウ</t>
    </rPh>
    <phoneticPr fontId="0"/>
  </si>
  <si>
    <t>コイン投げの結果は、前の回の影響を受けないので</t>
    <rPh sb="3" eb="4">
      <t>ナ</t>
    </rPh>
    <rPh sb="6" eb="8">
      <t>ケッカ</t>
    </rPh>
    <rPh sb="10" eb="11">
      <t>マエ</t>
    </rPh>
    <rPh sb="12" eb="13">
      <t>カイ</t>
    </rPh>
    <rPh sb="14" eb="16">
      <t>エイキョウ</t>
    </rPh>
    <rPh sb="17" eb="18">
      <t>ウ</t>
    </rPh>
    <phoneticPr fontId="0"/>
  </si>
  <si>
    <t>陽性反応が出る</t>
    <rPh sb="0" eb="2">
      <t>ヨウセイ</t>
    </rPh>
    <rPh sb="2" eb="4">
      <t>ハンノウ</t>
    </rPh>
    <rPh sb="5" eb="6">
      <t>デ</t>
    </rPh>
    <phoneticPr fontId="0"/>
  </si>
  <si>
    <t>事象自体がまったくわからない場合には定義は困難</t>
    <rPh sb="0" eb="2">
      <t>ジショウ</t>
    </rPh>
    <rPh sb="2" eb="4">
      <t>ジタイ</t>
    </rPh>
    <rPh sb="14" eb="16">
      <t>バアイ</t>
    </rPh>
    <rPh sb="18" eb="20">
      <t>テイギ</t>
    </rPh>
    <rPh sb="21" eb="23">
      <t>コンナン</t>
    </rPh>
    <phoneticPr fontId="0"/>
  </si>
  <si>
    <t>サイコロの目すべて</t>
    <rPh sb="5" eb="6">
      <t>メ</t>
    </rPh>
    <phoneticPr fontId="0"/>
  </si>
  <si>
    <t>全事象Ω</t>
    <rPh sb="0" eb="1">
      <t>ゼン</t>
    </rPh>
    <rPh sb="1" eb="3">
      <t>ジショウ</t>
    </rPh>
    <phoneticPr fontId="0"/>
  </si>
  <si>
    <t>Ω（オメガ）で表す</t>
    <rPh sb="7" eb="8">
      <t>アラワ</t>
    </rPh>
    <phoneticPr fontId="0"/>
  </si>
  <si>
    <t>相対度数を確率として定義</t>
    <rPh sb="0" eb="2">
      <t>ソウタイ</t>
    </rPh>
    <rPh sb="2" eb="4">
      <t>ドスウ</t>
    </rPh>
    <rPh sb="5" eb="7">
      <t>カクリツ</t>
    </rPh>
    <rPh sb="10" eb="12">
      <t>テイギ</t>
    </rPh>
    <phoneticPr fontId="0"/>
  </si>
  <si>
    <t>コインを3回投げたときに、表が出た回数を確率変数で表す</t>
    <rPh sb="5" eb="6">
      <t>カイ</t>
    </rPh>
    <rPh sb="6" eb="7">
      <t>ナ</t>
    </rPh>
    <rPh sb="13" eb="14">
      <t>オモテ</t>
    </rPh>
    <rPh sb="15" eb="16">
      <t>デ</t>
    </rPh>
    <rPh sb="17" eb="19">
      <t>カイスウ</t>
    </rPh>
    <rPh sb="20" eb="22">
      <t>カクリツ</t>
    </rPh>
    <rPh sb="22" eb="24">
      <t>ヘンスウ</t>
    </rPh>
    <rPh sb="25" eb="26">
      <t>アラワ</t>
    </rPh>
    <phoneticPr fontId="0"/>
  </si>
  <si>
    <t>検査で陽性反応が出たとき、本当に罹患している確率は？</t>
    <rPh sb="0" eb="2">
      <t>ケンサ</t>
    </rPh>
    <rPh sb="3" eb="5">
      <t>ヨウセイ</t>
    </rPh>
    <rPh sb="5" eb="7">
      <t>ハンノウ</t>
    </rPh>
    <rPh sb="8" eb="9">
      <t>デ</t>
    </rPh>
    <rPh sb="13" eb="15">
      <t>ホントウ</t>
    </rPh>
    <rPh sb="16" eb="18">
      <t>リカン</t>
    </rPh>
    <rPh sb="22" eb="24">
      <t>カクリツ</t>
    </rPh>
    <phoneticPr fontId="0"/>
  </si>
  <si>
    <t>事象Aと事象Bの同時確率</t>
    <rPh sb="0" eb="2">
      <t>ジショウ</t>
    </rPh>
    <rPh sb="4" eb="6">
      <t>ジショウ</t>
    </rPh>
    <rPh sb="8" eb="10">
      <t>ドウジ</t>
    </rPh>
    <rPh sb="10" eb="12">
      <t>カクリツ</t>
    </rPh>
    <phoneticPr fontId="0"/>
  </si>
  <si>
    <t>右辺</t>
    <rPh sb="0" eb="2">
      <t>ウヘン</t>
    </rPh>
    <phoneticPr fontId="0"/>
  </si>
  <si>
    <t>和事象を構成する事象の確率の和になる</t>
    <rPh sb="0" eb="1">
      <t>ワ</t>
    </rPh>
    <rPh sb="1" eb="3">
      <t>ジショウ</t>
    </rPh>
    <rPh sb="4" eb="6">
      <t>コウセイ</t>
    </rPh>
    <rPh sb="8" eb="10">
      <t>ジショウ</t>
    </rPh>
    <rPh sb="11" eb="13">
      <t>カクリツ</t>
    </rPh>
    <rPh sb="14" eb="15">
      <t>ワ</t>
    </rPh>
    <phoneticPr fontId="0"/>
  </si>
  <si>
    <t>※事象Bは事象Aに含まれる</t>
    <rPh sb="1" eb="3">
      <t>ジショウ</t>
    </rPh>
    <rPh sb="5" eb="7">
      <t>ジショウ</t>
    </rPh>
    <rPh sb="9" eb="10">
      <t>フク</t>
    </rPh>
    <phoneticPr fontId="0"/>
  </si>
  <si>
    <t>起こり得る結果すべて</t>
    <rPh sb="0" eb="1">
      <t>オ</t>
    </rPh>
    <rPh sb="3" eb="4">
      <t>ウ</t>
    </rPh>
    <rPh sb="5" eb="7">
      <t>ケッカ</t>
    </rPh>
    <phoneticPr fontId="0"/>
  </si>
  <si>
    <t>または</t>
    <phoneticPr fontId="0"/>
  </si>
  <si>
    <t>経験確率</t>
    <rPh sb="0" eb="2">
      <t>ケイケン</t>
    </rPh>
    <rPh sb="2" eb="4">
      <t>カクリツ</t>
    </rPh>
    <phoneticPr fontId="0"/>
  </si>
  <si>
    <t>実験や調査を行う必要がある</t>
    <rPh sb="8" eb="10">
      <t>ヒツヨウ</t>
    </rPh>
    <phoneticPr fontId="0"/>
  </si>
  <si>
    <t>コイン投げで表がでる確率</t>
    <rPh sb="3" eb="4">
      <t>ナ</t>
    </rPh>
    <rPh sb="6" eb="7">
      <t>オモテ</t>
    </rPh>
    <rPh sb="10" eb="12">
      <t>カクリツ</t>
    </rPh>
    <phoneticPr fontId="0"/>
  </si>
  <si>
    <t>問題3-2</t>
    <rPh sb="0" eb="2">
      <t>モンダイ</t>
    </rPh>
    <phoneticPr fontId="0"/>
  </si>
  <si>
    <t>pp.39</t>
    <phoneticPr fontId="0"/>
  </si>
  <si>
    <t>検査の判定が間違っている可能性は1% (=0.01)</t>
    <rPh sb="0" eb="2">
      <t>ケンサ</t>
    </rPh>
    <rPh sb="3" eb="5">
      <t>ハンテイ</t>
    </rPh>
    <rPh sb="6" eb="8">
      <t>マチガ</t>
    </rPh>
    <rPh sb="12" eb="15">
      <t>カノウセイ</t>
    </rPh>
    <phoneticPr fontId="0"/>
  </si>
  <si>
    <t>事象Aが起こる確率　×　事象Bの条件付き確率</t>
    <rPh sb="0" eb="2">
      <t>ジショウ</t>
    </rPh>
    <rPh sb="4" eb="5">
      <t>オ</t>
    </rPh>
    <rPh sb="7" eb="9">
      <t>カクリツ</t>
    </rPh>
    <rPh sb="12" eb="14">
      <t>ジショウ</t>
    </rPh>
    <rPh sb="16" eb="19">
      <t>ジョウケンツ</t>
    </rPh>
    <rPh sb="20" eb="22">
      <t>カクリツ</t>
    </rPh>
    <phoneticPr fontId="0"/>
  </si>
  <si>
    <t>左辺</t>
    <rPh sb="0" eb="2">
      <t>サヘン</t>
    </rPh>
    <phoneticPr fontId="0"/>
  </si>
  <si>
    <t>事前確率</t>
    <rPh sb="0" eb="2">
      <t>ジゼン</t>
    </rPh>
    <rPh sb="2" eb="4">
      <t>カクリツ</t>
    </rPh>
    <phoneticPr fontId="0"/>
  </si>
  <si>
    <t>積事象が空事象であれば、和事象の確率は</t>
    <rPh sb="0" eb="1">
      <t>セキ</t>
    </rPh>
    <rPh sb="1" eb="3">
      <t>ジショウ</t>
    </rPh>
    <rPh sb="4" eb="5">
      <t>クウ</t>
    </rPh>
    <rPh sb="5" eb="7">
      <t>ジショウ</t>
    </rPh>
    <rPh sb="12" eb="13">
      <t>ワ</t>
    </rPh>
    <rPh sb="13" eb="15">
      <t>ジショウ</t>
    </rPh>
    <rPh sb="16" eb="18">
      <t>カクリツ</t>
    </rPh>
    <phoneticPr fontId="0"/>
  </si>
  <si>
    <t>である</t>
    <phoneticPr fontId="0"/>
  </si>
  <si>
    <t>事象Bは事象Aの</t>
    <rPh sb="0" eb="2">
      <t>ジショウ</t>
    </rPh>
    <rPh sb="4" eb="6">
      <t>ジショウ</t>
    </rPh>
    <phoneticPr fontId="0"/>
  </si>
  <si>
    <t>…事象Aの余事象</t>
    <rPh sb="1" eb="3">
      <t>ジショウ</t>
    </rPh>
    <rPh sb="5" eb="8">
      <t>ヨジショウ</t>
    </rPh>
    <phoneticPr fontId="0"/>
  </si>
  <si>
    <t>事象自体が不明な場合は困難</t>
    <rPh sb="0" eb="2">
      <t>ジショウ</t>
    </rPh>
    <rPh sb="2" eb="4">
      <t>ジタイ</t>
    </rPh>
    <rPh sb="5" eb="7">
      <t>フメイ</t>
    </rPh>
    <rPh sb="8" eb="10">
      <t>バアイ</t>
    </rPh>
    <rPh sb="11" eb="13">
      <t>コンナン</t>
    </rPh>
    <phoneticPr fontId="0"/>
  </si>
  <si>
    <t>実際には確率分布はわからないことが一般的であるため</t>
    <rPh sb="0" eb="2">
      <t>ジッサイ</t>
    </rPh>
    <rPh sb="4" eb="6">
      <t>カクリツ</t>
    </rPh>
    <rPh sb="6" eb="8">
      <t>ブンプ</t>
    </rPh>
    <rPh sb="17" eb="20">
      <t>イッパンテキ</t>
    </rPh>
    <phoneticPr fontId="0"/>
  </si>
  <si>
    <t>病気には10万人に1人が罹患。</t>
    <rPh sb="0" eb="2">
      <t>ビョウキ</t>
    </rPh>
    <rPh sb="6" eb="8">
      <t>マンニン</t>
    </rPh>
    <rPh sb="10" eb="11">
      <t>ニン</t>
    </rPh>
    <rPh sb="12" eb="14">
      <t>リカン</t>
    </rPh>
    <phoneticPr fontId="0"/>
  </si>
  <si>
    <t>[定理2]</t>
    <rPh sb="1" eb="3">
      <t>テイリ</t>
    </rPh>
    <phoneticPr fontId="0"/>
  </si>
  <si>
    <t>根元事象の数</t>
    <rPh sb="0" eb="2">
      <t>コンゲン</t>
    </rPh>
    <rPh sb="2" eb="4">
      <t>ジショウ</t>
    </rPh>
    <rPh sb="5" eb="6">
      <t>カズ</t>
    </rPh>
    <phoneticPr fontId="0"/>
  </si>
  <si>
    <t>根元事象で構成されている</t>
  </si>
  <si>
    <t>根元事象の確率が同等であると定義</t>
    <rPh sb="0" eb="2">
      <t>コンゲン</t>
    </rPh>
    <rPh sb="2" eb="4">
      <t>ジショウ</t>
    </rPh>
    <rPh sb="5" eb="7">
      <t>カクリツ</t>
    </rPh>
    <rPh sb="8" eb="10">
      <t>ドウトウ</t>
    </rPh>
    <rPh sb="14" eb="16">
      <t>テイギ</t>
    </rPh>
    <phoneticPr fontId="0"/>
  </si>
  <si>
    <t>は、母集団の分布を表している</t>
    <rPh sb="2" eb="5">
      <t>ボシュウダン</t>
    </rPh>
    <rPh sb="6" eb="8">
      <t>ブンプ</t>
    </rPh>
    <rPh sb="9" eb="10">
      <t>アラワ</t>
    </rPh>
    <phoneticPr fontId="0"/>
  </si>
  <si>
    <t>確率変数　　の分布</t>
    <rPh sb="0" eb="2">
      <t>カクリツ</t>
    </rPh>
    <rPh sb="2" eb="4">
      <t>ヘンスウ</t>
    </rPh>
    <rPh sb="7" eb="9">
      <t>ブンプ</t>
    </rPh>
    <phoneticPr fontId="0"/>
  </si>
  <si>
    <t>変数が離散変数のとき、確率変数は</t>
    <rPh sb="0" eb="2">
      <t>ヘンスウ</t>
    </rPh>
    <rPh sb="3" eb="5">
      <t>リサン</t>
    </rPh>
    <rPh sb="5" eb="7">
      <t>ヘンスウ</t>
    </rPh>
    <rPh sb="11" eb="13">
      <t>カクリツ</t>
    </rPh>
    <rPh sb="13" eb="15">
      <t>ヘンスウ</t>
    </rPh>
    <phoneticPr fontId="0"/>
  </si>
  <si>
    <t>ある病気にかかっているか判定する検査について。</t>
    <rPh sb="2" eb="4">
      <t>ビョウキ</t>
    </rPh>
    <rPh sb="12" eb="14">
      <t>ハンテイ</t>
    </rPh>
    <rPh sb="16" eb="18">
      <t>ケンサ</t>
    </rPh>
    <phoneticPr fontId="0"/>
  </si>
  <si>
    <t>↓</t>
    <phoneticPr fontId="0"/>
  </si>
  <si>
    <t>サイコロの目</t>
    <rPh sb="5" eb="6">
      <t>メ</t>
    </rPh>
    <phoneticPr fontId="0"/>
  </si>
  <si>
    <t>つの</t>
    <phoneticPr fontId="0"/>
  </si>
  <si>
    <t>事象Bの余事象は</t>
    <rPh sb="0" eb="2">
      <t>ジショウ</t>
    </rPh>
    <rPh sb="4" eb="7">
      <t>ヨジショウ</t>
    </rPh>
    <phoneticPr fontId="0"/>
  </si>
  <si>
    <t>事象Aが起こらないこと（事象Aの補集合）</t>
    <rPh sb="0" eb="2">
      <t>ジショウ</t>
    </rPh>
    <rPh sb="4" eb="5">
      <t>オ</t>
    </rPh>
    <rPh sb="12" eb="14">
      <t>ジショウ</t>
    </rPh>
    <rPh sb="16" eb="19">
      <t>ホシュウゴウ</t>
    </rPh>
    <phoneticPr fontId="0"/>
  </si>
  <si>
    <t>先験確率</t>
    <rPh sb="0" eb="2">
      <t>センケン</t>
    </rPh>
    <rPh sb="2" eb="4">
      <t>カクリツ</t>
    </rPh>
    <phoneticPr fontId="0"/>
  </si>
  <si>
    <t>の右辺分母を移項</t>
    <rPh sb="1" eb="3">
      <t>ウヘン</t>
    </rPh>
    <rPh sb="3" eb="5">
      <t>ブンボ</t>
    </rPh>
    <rPh sb="6" eb="8">
      <t>イコウ</t>
    </rPh>
    <phoneticPr fontId="0"/>
  </si>
  <si>
    <t>事象Bの条件付き確率</t>
    <rPh sb="0" eb="2">
      <t>ジショウ</t>
    </rPh>
    <rPh sb="4" eb="7">
      <t>ジョウケンツキ</t>
    </rPh>
    <rPh sb="8" eb="10">
      <t>カクリツ</t>
    </rPh>
    <phoneticPr fontId="0"/>
  </si>
  <si>
    <t>事象Aと事象Bが互いに排反ならば、すなわち</t>
    <rPh sb="0" eb="2">
      <t>ジショウ</t>
    </rPh>
    <rPh sb="4" eb="6">
      <t>ジショウ</t>
    </rPh>
    <rPh sb="8" eb="9">
      <t>タガ</t>
    </rPh>
    <rPh sb="11" eb="13">
      <t>ハイハン</t>
    </rPh>
    <phoneticPr fontId="0"/>
  </si>
  <si>
    <t>（Ⅲ）</t>
    <phoneticPr fontId="0"/>
  </si>
  <si>
    <t>…余事象</t>
    <rPh sb="1" eb="4">
      <t>ヨジショウ</t>
    </rPh>
    <phoneticPr fontId="0"/>
  </si>
  <si>
    <t>先験確率と経験確率</t>
    <rPh sb="0" eb="2">
      <t>センケン</t>
    </rPh>
    <rPh sb="2" eb="4">
      <t>カクリツ</t>
    </rPh>
    <rPh sb="5" eb="7">
      <t>ケイケン</t>
    </rPh>
    <rPh sb="7" eb="9">
      <t>カクリツ</t>
    </rPh>
    <phoneticPr fontId="0"/>
  </si>
  <si>
    <t>確率変数　　が観測値　　をとる確率</t>
    <rPh sb="0" eb="2">
      <t>カクリツ</t>
    </rPh>
    <rPh sb="2" eb="4">
      <t>ヘンスウ</t>
    </rPh>
    <rPh sb="7" eb="10">
      <t>カンソクチ</t>
    </rPh>
    <rPh sb="15" eb="17">
      <t>カクリツ</t>
    </rPh>
    <phoneticPr fontId="0"/>
  </si>
  <si>
    <t>X={1,0}</t>
    <phoneticPr fontId="0"/>
  </si>
  <si>
    <t>全部足すと1（パーセント表示で100%）</t>
    <rPh sb="0" eb="2">
      <t>ゼンブ</t>
    </rPh>
    <rPh sb="2" eb="3">
      <t>タ</t>
    </rPh>
    <rPh sb="12" eb="14">
      <t>ヒョウジ</t>
    </rPh>
    <phoneticPr fontId="0"/>
  </si>
  <si>
    <t>コイン投げで「表」が出ること</t>
    <rPh sb="3" eb="4">
      <t>ナ</t>
    </rPh>
    <rPh sb="7" eb="8">
      <t>オモテ</t>
    </rPh>
    <rPh sb="10" eb="11">
      <t>デ</t>
    </rPh>
    <phoneticPr fontId="0"/>
  </si>
  <si>
    <t>標本における統計値（データ）</t>
    <rPh sb="0" eb="2">
      <t>ヒョウホン</t>
    </rPh>
    <rPh sb="6" eb="8">
      <t>トウケイ</t>
    </rPh>
    <rPh sb="8" eb="9">
      <t>チ</t>
    </rPh>
    <phoneticPr fontId="0"/>
  </si>
  <si>
    <t>コイン投げの例</t>
    <rPh sb="3" eb="4">
      <t>ナ</t>
    </rPh>
    <rPh sb="6" eb="7">
      <t>レイ</t>
    </rPh>
    <phoneticPr fontId="0"/>
  </si>
  <si>
    <t>条件付き確率</t>
    <rPh sb="0" eb="3">
      <t>ジョウケンツ</t>
    </rPh>
    <rPh sb="4" eb="6">
      <t>カクリツ</t>
    </rPh>
    <phoneticPr fontId="0"/>
  </si>
  <si>
    <t>（Ⅱ）</t>
    <phoneticPr fontId="0"/>
  </si>
  <si>
    <t>出た目が2</t>
    <rPh sb="0" eb="1">
      <t>デ</t>
    </rPh>
    <rPh sb="2" eb="3">
      <t>メ</t>
    </rPh>
    <phoneticPr fontId="0"/>
  </si>
  <si>
    <t>サイコロを投げて「２」の目が出ること</t>
    <rPh sb="5" eb="6">
      <t>ナ</t>
    </rPh>
    <rPh sb="12" eb="13">
      <t>メ</t>
    </rPh>
    <rPh sb="14" eb="15">
      <t>デ</t>
    </rPh>
    <phoneticPr fontId="0"/>
  </si>
  <si>
    <t>AとBが排反ならば</t>
    <rPh sb="4" eb="6">
      <t>ハイハン</t>
    </rPh>
    <phoneticPr fontId="0"/>
  </si>
  <si>
    <t>実際にコイン投げを実施したときに表の出た回数</t>
    <rPh sb="0" eb="2">
      <t>ジッサイ</t>
    </rPh>
    <rPh sb="6" eb="7">
      <t>ナ</t>
    </rPh>
    <rPh sb="9" eb="11">
      <t>ジッシ</t>
    </rPh>
    <rPh sb="16" eb="17">
      <t>オモテ</t>
    </rPh>
    <rPh sb="18" eb="19">
      <t>デ</t>
    </rPh>
    <rPh sb="20" eb="22">
      <t>カイスウ</t>
    </rPh>
    <phoneticPr fontId="0"/>
  </si>
  <si>
    <t>観測値</t>
    <rPh sb="0" eb="3">
      <t>カンソクチ</t>
    </rPh>
    <phoneticPr fontId="0"/>
  </si>
  <si>
    <t>確率変数の数式表現</t>
    <rPh sb="0" eb="2">
      <t>カクリツ</t>
    </rPh>
    <rPh sb="2" eb="4">
      <t>ヘンスウ</t>
    </rPh>
    <rPh sb="5" eb="7">
      <t>スウシキ</t>
    </rPh>
    <rPh sb="7" eb="9">
      <t>ヒョウゲン</t>
    </rPh>
    <phoneticPr fontId="0"/>
  </si>
  <si>
    <t>積事象の確率</t>
    <rPh sb="0" eb="1">
      <t>セキ</t>
    </rPh>
    <rPh sb="1" eb="3">
      <t>ジショウ</t>
    </rPh>
    <rPh sb="4" eb="6">
      <t>カクリツ</t>
    </rPh>
    <phoneticPr fontId="0"/>
  </si>
  <si>
    <t>コイン投げ</t>
    <rPh sb="3" eb="4">
      <t>ナ</t>
    </rPh>
    <phoneticPr fontId="0"/>
  </si>
  <si>
    <t>確率は必ず0～1の間（パーセント表示なら0～100%）</t>
    <rPh sb="0" eb="2">
      <t>カクリツ</t>
    </rPh>
    <rPh sb="3" eb="4">
      <t>カナラ</t>
    </rPh>
    <rPh sb="9" eb="10">
      <t>アイダ</t>
    </rPh>
    <rPh sb="16" eb="18">
      <t>ヒョウジ</t>
    </rPh>
    <phoneticPr fontId="0"/>
  </si>
  <si>
    <t>「２」</t>
    <phoneticPr fontId="0"/>
  </si>
  <si>
    <t>偶然性を伴って生じる結果</t>
    <rPh sb="0" eb="3">
      <t>グウゼンセイ</t>
    </rPh>
    <rPh sb="4" eb="5">
      <t>トモナ</t>
    </rPh>
    <rPh sb="7" eb="8">
      <t>ショウ</t>
    </rPh>
    <rPh sb="10" eb="12">
      <t>ケッカ</t>
    </rPh>
    <phoneticPr fontId="0"/>
  </si>
  <si>
    <t>全部足したら１</t>
    <rPh sb="0" eb="2">
      <t>ゼンブ</t>
    </rPh>
    <rPh sb="2" eb="3">
      <t>タ</t>
    </rPh>
    <phoneticPr fontId="0"/>
  </si>
  <si>
    <t>無限母集団から標本を抽出していることと同じ</t>
    <rPh sb="0" eb="2">
      <t>ムゲン</t>
    </rPh>
    <rPh sb="2" eb="5">
      <t>ボシュウダン</t>
    </rPh>
    <rPh sb="7" eb="9">
      <t>ヒョウホン</t>
    </rPh>
    <rPh sb="10" eb="12">
      <t>チュウシュツ</t>
    </rPh>
    <rPh sb="19" eb="20">
      <t>オナ</t>
    </rPh>
    <phoneticPr fontId="0"/>
  </si>
  <si>
    <t>観測値の集合</t>
    <rPh sb="0" eb="3">
      <t>カンソクチ</t>
    </rPh>
    <rPh sb="4" eb="6">
      <t>シュウゴウ</t>
    </rPh>
    <phoneticPr fontId="0"/>
  </si>
  <si>
    <t>（事前）確率</t>
    <rPh sb="1" eb="3">
      <t>ジゼン</t>
    </rPh>
    <rPh sb="4" eb="6">
      <t>カクリツ</t>
    </rPh>
    <phoneticPr fontId="0"/>
  </si>
  <si>
    <t>偶数かつ4以上</t>
    <rPh sb="0" eb="2">
      <t>グウスウ</t>
    </rPh>
    <rPh sb="5" eb="7">
      <t>イジョウ</t>
    </rPh>
    <phoneticPr fontId="0"/>
  </si>
  <si>
    <t>（joint probability）</t>
    <phoneticPr fontId="0"/>
  </si>
  <si>
    <t>事象に含まれる根元事象の数を計算して定義する</t>
    <rPh sb="0" eb="2">
      <t>ジショウ</t>
    </rPh>
    <rPh sb="3" eb="4">
      <t>フク</t>
    </rPh>
    <rPh sb="7" eb="9">
      <t>コンゲン</t>
    </rPh>
    <rPh sb="9" eb="11">
      <t>ジショウ</t>
    </rPh>
    <rPh sb="12" eb="13">
      <t>カズ</t>
    </rPh>
    <rPh sb="14" eb="16">
      <t>ケイサン</t>
    </rPh>
    <rPh sb="18" eb="20">
      <t>テイギ</t>
    </rPh>
    <phoneticPr fontId="0"/>
  </si>
  <si>
    <t>任意の事象Aに対して、</t>
    <rPh sb="0" eb="2">
      <t>ニンイ</t>
    </rPh>
    <rPh sb="3" eb="5">
      <t>ジショウ</t>
    </rPh>
    <rPh sb="7" eb="8">
      <t>タイ</t>
    </rPh>
    <phoneticPr fontId="0"/>
  </si>
  <si>
    <t>（Ⅰ）</t>
    <phoneticPr fontId="0"/>
  </si>
  <si>
    <t>事象Aは3つの根元事象で構成されている</t>
    <rPh sb="0" eb="2">
      <t>ジショウ</t>
    </rPh>
    <rPh sb="7" eb="9">
      <t>コンゲン</t>
    </rPh>
    <rPh sb="9" eb="11">
      <t>ジショウ</t>
    </rPh>
    <rPh sb="12" eb="14">
      <t>コウセイ</t>
    </rPh>
    <phoneticPr fontId="0"/>
  </si>
  <si>
    <t>偶然性の確からしさを測る指標</t>
    <rPh sb="0" eb="3">
      <t>グウゼンセイ</t>
    </rPh>
    <rPh sb="4" eb="5">
      <t>タシ</t>
    </rPh>
    <rPh sb="10" eb="11">
      <t>ハカ</t>
    </rPh>
    <rPh sb="12" eb="14">
      <t>シヒョウ</t>
    </rPh>
    <phoneticPr fontId="0"/>
  </si>
  <si>
    <t>0から1の間</t>
    <rPh sb="5" eb="6">
      <t>アイダ</t>
    </rPh>
    <phoneticPr fontId="0"/>
  </si>
  <si>
    <t>コイン投げの試行は無限回繰り返すことができるので</t>
    <rPh sb="3" eb="4">
      <t>ナ</t>
    </rPh>
    <rPh sb="6" eb="8">
      <t>シコウ</t>
    </rPh>
    <rPh sb="9" eb="11">
      <t>ムゲン</t>
    </rPh>
    <rPh sb="11" eb="12">
      <t>カイ</t>
    </rPh>
    <rPh sb="12" eb="13">
      <t>ク</t>
    </rPh>
    <rPh sb="14" eb="15">
      <t>カエ</t>
    </rPh>
    <phoneticPr fontId="0"/>
  </si>
  <si>
    <t>【これらの性質を満たさないものは“確率”ではない】</t>
    <rPh sb="5" eb="7">
      <t>セイシツ</t>
    </rPh>
    <rPh sb="8" eb="9">
      <t>ミ</t>
    </rPh>
    <rPh sb="17" eb="19">
      <t>カクリツ</t>
    </rPh>
    <phoneticPr fontId="0"/>
  </si>
  <si>
    <t>確率の公理</t>
    <rPh sb="0" eb="2">
      <t>カクリツ</t>
    </rPh>
    <rPh sb="3" eb="5">
      <t>コウリ</t>
    </rPh>
    <phoneticPr fontId="0"/>
  </si>
  <si>
    <t>事象Aのうち1つの要素</t>
    <rPh sb="0" eb="2">
      <t>ジショウ</t>
    </rPh>
    <rPh sb="9" eb="11">
      <t>ヨウソ</t>
    </rPh>
    <phoneticPr fontId="0"/>
  </si>
  <si>
    <t>確率の考え方</t>
    <rPh sb="0" eb="2">
      <t>カクリツ</t>
    </rPh>
    <rPh sb="3" eb="4">
      <t>カンガ</t>
    </rPh>
    <rPh sb="5" eb="6">
      <t>カタ</t>
    </rPh>
    <phoneticPr fontId="0"/>
  </si>
  <si>
    <t>pp.30</t>
    <phoneticPr fontId="0"/>
  </si>
  <si>
    <t>【確率の公理】を満たさないものは確率ではない</t>
    <rPh sb="1" eb="3">
      <t>カクリツ</t>
    </rPh>
    <rPh sb="4" eb="6">
      <t>コウリ</t>
    </rPh>
    <rPh sb="8" eb="9">
      <t>ミ</t>
    </rPh>
    <rPh sb="16" eb="18">
      <t>カクリツ</t>
    </rPh>
    <phoneticPr fontId="0"/>
  </si>
  <si>
    <t>母集団</t>
    <rPh sb="0" eb="3">
      <t>ボシュウダン</t>
    </rPh>
    <phoneticPr fontId="0"/>
  </si>
  <si>
    <t>観測値に確率が対応している変数のこと</t>
    <rPh sb="0" eb="3">
      <t>カンソクチ</t>
    </rPh>
    <rPh sb="4" eb="6">
      <t>カクリツ</t>
    </rPh>
    <rPh sb="7" eb="9">
      <t>タイオウ</t>
    </rPh>
    <rPh sb="13" eb="15">
      <t>ヘンスウ</t>
    </rPh>
    <phoneticPr fontId="0"/>
  </si>
  <si>
    <t>偶数</t>
    <rPh sb="0" eb="2">
      <t>グウスウ</t>
    </rPh>
    <phoneticPr fontId="0"/>
  </si>
  <si>
    <t>[定義1]</t>
    <rPh sb="1" eb="3">
      <t>テイギ</t>
    </rPh>
    <phoneticPr fontId="0"/>
  </si>
  <si>
    <t>根元事象の可能性が同等であると考えて定義した確率</t>
    <rPh sb="0" eb="2">
      <t>コンゲン</t>
    </rPh>
    <rPh sb="2" eb="4">
      <t>ジショウ</t>
    </rPh>
    <rPh sb="5" eb="8">
      <t>カノウセイ</t>
    </rPh>
    <rPh sb="9" eb="11">
      <t>ドウトウ</t>
    </rPh>
    <rPh sb="15" eb="16">
      <t>カンガ</t>
    </rPh>
    <rPh sb="18" eb="20">
      <t>テイギ</t>
    </rPh>
    <rPh sb="22" eb="24">
      <t>カクリツ</t>
    </rPh>
    <phoneticPr fontId="0"/>
  </si>
  <si>
    <t>コイン投げ（試行）が無限に実施できる</t>
    <rPh sb="3" eb="4">
      <t>ナ</t>
    </rPh>
    <rPh sb="6" eb="8">
      <t>シコウ</t>
    </rPh>
    <rPh sb="10" eb="12">
      <t>ムゲン</t>
    </rPh>
    <rPh sb="13" eb="15">
      <t>ジッシ</t>
    </rPh>
    <phoneticPr fontId="0"/>
  </si>
  <si>
    <t>変数の概念に確率が加わったもの</t>
    <rPh sb="0" eb="2">
      <t>ヘンスウ</t>
    </rPh>
    <rPh sb="3" eb="5">
      <t>ガイネン</t>
    </rPh>
    <rPh sb="6" eb="8">
      <t>カクリツ</t>
    </rPh>
    <rPh sb="9" eb="10">
      <t>クワ</t>
    </rPh>
    <phoneticPr fontId="0"/>
  </si>
  <si>
    <t>出目が4以上である確率は？</t>
    <rPh sb="0" eb="2">
      <t>デメ</t>
    </rPh>
    <rPh sb="4" eb="6">
      <t>イジョウ</t>
    </rPh>
    <rPh sb="9" eb="11">
      <t>カクリツ</t>
    </rPh>
    <phoneticPr fontId="0"/>
  </si>
  <si>
    <t>事象Aが起こったという条件のもとで事象Bが起こる確率</t>
    <rPh sb="0" eb="2">
      <t>ジショウ</t>
    </rPh>
    <rPh sb="4" eb="5">
      <t>オ</t>
    </rPh>
    <rPh sb="11" eb="13">
      <t>ジョウケン</t>
    </rPh>
    <rPh sb="17" eb="19">
      <t>ジショウ</t>
    </rPh>
    <rPh sb="21" eb="22">
      <t>オ</t>
    </rPh>
    <rPh sb="24" eb="26">
      <t>カクリツ</t>
    </rPh>
    <phoneticPr fontId="0"/>
  </si>
  <si>
    <t>コインの表、サイコロの2の目</t>
    <rPh sb="4" eb="5">
      <t>オモテ</t>
    </rPh>
    <rPh sb="13" eb="14">
      <t>メ</t>
    </rPh>
    <phoneticPr fontId="0"/>
  </si>
  <si>
    <t>確率と確率変数の違いを理解します。</t>
    <rPh sb="0" eb="2">
      <t>カクリツ</t>
    </rPh>
    <rPh sb="3" eb="5">
      <t>カクリツ</t>
    </rPh>
    <rPh sb="5" eb="7">
      <t>ヘンスウ</t>
    </rPh>
    <rPh sb="8" eb="9">
      <t>チガ</t>
    </rPh>
    <rPh sb="11" eb="13">
      <t>リカイ</t>
    </rPh>
    <phoneticPr fontId="0"/>
  </si>
  <si>
    <t>コイン投げで表の出る比率</t>
    <rPh sb="3" eb="4">
      <t>ナ</t>
    </rPh>
    <rPh sb="6" eb="7">
      <t>オモテ</t>
    </rPh>
    <rPh sb="8" eb="9">
      <t>デ</t>
    </rPh>
    <rPh sb="10" eb="12">
      <t>ヒリツ</t>
    </rPh>
    <phoneticPr fontId="0"/>
  </si>
  <si>
    <t>（random variable）</t>
    <phoneticPr fontId="0"/>
  </si>
  <si>
    <t>サイコロを振り、出目を見逃した。友人によると、出目は偶数とのこと。</t>
    <rPh sb="5" eb="6">
      <t>フ</t>
    </rPh>
    <rPh sb="8" eb="10">
      <t>デメ</t>
    </rPh>
    <rPh sb="11" eb="13">
      <t>ミノガ</t>
    </rPh>
    <rPh sb="16" eb="18">
      <t>ユウジン</t>
    </rPh>
    <rPh sb="23" eb="25">
      <t>デメ</t>
    </rPh>
    <rPh sb="26" eb="28">
      <t>グウスウ</t>
    </rPh>
    <phoneticPr fontId="0"/>
  </si>
  <si>
    <t>（conditional probability）</t>
    <phoneticPr fontId="0"/>
  </si>
  <si>
    <t>事象におけるひとつの要素</t>
    <rPh sb="0" eb="2">
      <t>ジショウ</t>
    </rPh>
    <rPh sb="10" eb="12">
      <t>ヨウソ</t>
    </rPh>
    <phoneticPr fontId="0"/>
  </si>
  <si>
    <r>
      <t>事象Aの起こる</t>
    </r>
    <r>
      <rPr>
        <sz val="12"/>
        <color rgb="FFFF0000"/>
        <rFont val="メイリオ"/>
        <family val="3"/>
        <charset val="128"/>
      </rPr>
      <t>確率（probability）</t>
    </r>
  </si>
  <si>
    <t>出た目が偶数</t>
    <rPh sb="0" eb="1">
      <t>デ</t>
    </rPh>
    <rPh sb="2" eb="3">
      <t>メ</t>
    </rPh>
    <rPh sb="4" eb="6">
      <t>グウスウ</t>
    </rPh>
    <phoneticPr fontId="0"/>
  </si>
  <si>
    <t>先験確率と経験確率の考え方を理解します。</t>
    <rPh sb="0" eb="2">
      <t>センケン</t>
    </rPh>
    <rPh sb="2" eb="4">
      <t>カクリツ</t>
    </rPh>
    <rPh sb="5" eb="7">
      <t>ケイケン</t>
    </rPh>
    <rPh sb="7" eb="9">
      <t>カクリツ</t>
    </rPh>
    <rPh sb="10" eb="11">
      <t>カンガ</t>
    </rPh>
    <rPh sb="12" eb="13">
      <t>カタ</t>
    </rPh>
    <rPh sb="14" eb="16">
      <t>リカイ</t>
    </rPh>
    <phoneticPr fontId="0"/>
  </si>
  <si>
    <t>今日の講義のまとめ</t>
    <rPh sb="0" eb="2">
      <t>キョウ</t>
    </rPh>
    <rPh sb="3" eb="5">
      <t>コウギ</t>
    </rPh>
    <phoneticPr fontId="0"/>
  </si>
  <si>
    <t>確率変数の例</t>
    <rPh sb="0" eb="2">
      <t>カクリツ</t>
    </rPh>
    <rPh sb="2" eb="4">
      <t>ヘンスウ</t>
    </rPh>
    <rPh sb="5" eb="6">
      <t>レイ</t>
    </rPh>
    <phoneticPr fontId="0"/>
  </si>
  <si>
    <t>確率変数の定義</t>
    <rPh sb="0" eb="2">
      <t>カクリツ</t>
    </rPh>
    <rPh sb="2" eb="4">
      <t>ヘンスウ</t>
    </rPh>
    <rPh sb="5" eb="7">
      <t>テイギ</t>
    </rPh>
    <phoneticPr fontId="0"/>
  </si>
  <si>
    <t>pp.38</t>
    <phoneticPr fontId="0"/>
  </si>
  <si>
    <t>条件付き確率の例</t>
    <rPh sb="0" eb="3">
      <t>ジョウケンツキ</t>
    </rPh>
    <rPh sb="4" eb="6">
      <t>カクリツ</t>
    </rPh>
    <rPh sb="7" eb="8">
      <t>レイ</t>
    </rPh>
    <phoneticPr fontId="0"/>
  </si>
  <si>
    <t>pp.</t>
    <phoneticPr fontId="0"/>
  </si>
  <si>
    <t>条件付き確率</t>
    <rPh sb="0" eb="3">
      <t>ジョウケンツキ</t>
    </rPh>
    <rPh sb="4" eb="6">
      <t>カクリツ</t>
    </rPh>
    <phoneticPr fontId="0"/>
  </si>
  <si>
    <t>pp.35</t>
    <phoneticPr fontId="0"/>
  </si>
  <si>
    <t>pp.33</t>
    <phoneticPr fontId="0"/>
  </si>
  <si>
    <t>サイコロによる事象の例</t>
    <rPh sb="7" eb="9">
      <t>ジショウ</t>
    </rPh>
    <rPh sb="10" eb="11">
      <t>レイ</t>
    </rPh>
    <phoneticPr fontId="0"/>
  </si>
  <si>
    <t>例題3-1</t>
    <rPh sb="0" eb="2">
      <t>レイダイ</t>
    </rPh>
    <phoneticPr fontId="0"/>
  </si>
  <si>
    <t>確率に関する定義を学びます。</t>
    <rPh sb="0" eb="2">
      <t>カクリツ</t>
    </rPh>
    <rPh sb="3" eb="4">
      <t>カン</t>
    </rPh>
    <rPh sb="6" eb="8">
      <t>テイギ</t>
    </rPh>
    <rPh sb="9" eb="10">
      <t>マナ</t>
    </rPh>
    <phoneticPr fontId="0"/>
  </si>
  <si>
    <t>今日やること</t>
    <rPh sb="0" eb="2">
      <t>キョウ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</si>
</sst>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Trebuchet MS"/>
      <family val="2"/>
      <charset val="128"/>
    </font>
    <font>
      <sz val="12"/>
      <color theme="1"/>
      <name val="メイリオ"/>
      <family val="3"/>
      <charset val="128"/>
    </font>
    <font>
      <sz val="12"/>
      <name val="メイリオ"/>
      <family val="3"/>
      <charset val="128"/>
    </font>
    <font>
      <sz val="16"/>
      <color rgb="FFFF0000"/>
      <name val="メイリオ"/>
      <family val="3"/>
      <charset val="128"/>
    </font>
    <font>
      <sz val="12"/>
      <color rgb="FFFF0000"/>
      <name val="メイリオ"/>
      <family val="3"/>
      <charset val="128"/>
    </font>
    <font>
      <b/>
      <sz val="12"/>
      <color rgb="FFFF0000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6"/>
      <color theme="1"/>
      <name val="Wingdings"/>
      <charset val="2"/>
    </font>
    <font>
      <sz val="12"/>
      <color rgb="FF0070C0"/>
      <name val="メイリオ"/>
      <family val="3"/>
      <charset val="128"/>
    </font>
    <font>
      <sz val="12"/>
      <color rgb="FF00B050"/>
      <name val="メイリオ"/>
      <family val="3"/>
      <charset val="128"/>
    </font>
    <font>
      <sz val="12"/>
      <color theme="3"/>
      <name val="メイリオ"/>
      <family val="3"/>
      <charset val="128"/>
    </font>
    <font>
      <vertAlign val="subscript"/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7" fillId="0" borderId="19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1" fillId="0" borderId="0" xfId="0" applyNumberFormat="1" applyFont="1">
      <alignment vertical="center"/>
    </xf>
    <xf numFmtId="164" fontId="2" fillId="0" borderId="0" xfId="0" applyNumberFormat="1" applyFont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2" fontId="8" fillId="0" borderId="20" xfId="0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shrinkToFi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25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" fillId="0" borderId="0" xfId="0" applyFont="1" applyAlignment="1">
      <alignment horizontal="left" vertical="center" shrinkToFit="1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5" xfId="0" applyFont="1" applyBorder="1">
      <alignment vertical="center"/>
    </xf>
    <xf numFmtId="0" fontId="1" fillId="0" borderId="36" xfId="0" applyFont="1" applyBorder="1">
      <alignment vertical="center"/>
    </xf>
    <xf numFmtId="0" fontId="1" fillId="0" borderId="37" xfId="0" applyFont="1" applyBorder="1">
      <alignment vertical="center"/>
    </xf>
    <xf numFmtId="0" fontId="1" fillId="0" borderId="38" xfId="0" applyFont="1" applyBorder="1">
      <alignment vertical="center"/>
    </xf>
    <xf numFmtId="0" fontId="1" fillId="0" borderId="39" xfId="0" applyFont="1" applyBorder="1">
      <alignment vertical="center"/>
    </xf>
    <xf numFmtId="0" fontId="7" fillId="0" borderId="9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vertical="center" shrinkToFit="1"/>
    </xf>
    <xf numFmtId="0" fontId="1" fillId="0" borderId="5" xfId="0" applyFont="1" applyBorder="1" applyAlignment="1">
      <alignment vertical="center" shrinkToFit="1"/>
    </xf>
    <xf numFmtId="0" fontId="1" fillId="0" borderId="5" xfId="0" applyFont="1" applyBorder="1">
      <alignment vertical="center"/>
    </xf>
    <xf numFmtId="0" fontId="1" fillId="0" borderId="6" xfId="0" applyFont="1" applyBorder="1" applyAlignment="1">
      <alignment vertical="center" shrinkToFit="1"/>
    </xf>
    <xf numFmtId="0" fontId="1" fillId="0" borderId="38" xfId="0" applyFont="1" applyBorder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1" fillId="0" borderId="39" xfId="0" applyFont="1" applyBorder="1" applyAlignment="1">
      <alignment vertical="center" shrinkToFit="1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34" xfId="0" applyFont="1" applyBorder="1" applyAlignment="1">
      <alignment horizontal="left" vertical="center"/>
    </xf>
    <xf numFmtId="0" fontId="1" fillId="0" borderId="40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1" fillId="0" borderId="43" xfId="0" applyFont="1" applyBorder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" fillId="0" borderId="45" xfId="0" applyFont="1" applyBorder="1">
      <alignment vertical="center"/>
    </xf>
    <xf numFmtId="0" fontId="1" fillId="0" borderId="46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8" xfId="0" applyFont="1" applyBorder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7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12</xdr:row>
      <xdr:rowOff>0</xdr:rowOff>
    </xdr:from>
    <xdr:ext cx="914400" cy="5729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C0D81704-655B-2C49-8CB3-2532FD2F0B58}"/>
                </a:ext>
              </a:extLst>
            </xdr:cNvPr>
            <xdr:cNvSpPr txBox="1"/>
          </xdr:nvSpPr>
          <xdr:spPr>
            <a:xfrm>
              <a:off x="1866900" y="2133600"/>
              <a:ext cx="914400" cy="57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kumimoji="1" lang="en-US" altLang="ja-JP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kumimoji="1" lang="en-US" altLang="ja-JP" sz="14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=</m:t>
                            </m:r>
                            <m:d>
                              <m:dPr>
                                <m:begChr m:val="{"/>
                                <m:endChr m:val="}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表</m:t>
                                </m:r>
                              </m:e>
                            </m:d>
                          </m:e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400" b="0" i="1">
                                    <a:latin typeface="Cambria Math"/>
                                  </a:rPr>
                                  <m:t>𝐴</m:t>
                                </m:r>
                              </m:e>
                            </m:acc>
                            <m:r>
                              <a:rPr kumimoji="1" lang="en-US" altLang="ja-JP" sz="1400" b="0" i="1">
                                <a:latin typeface="Cambria Math"/>
                              </a:rPr>
                              <m:t>=</m:t>
                            </m:r>
                            <m:d>
                              <m:dPr>
                                <m:begChr m:val="{"/>
                                <m:endChr m:val="}"/>
                                <m:ctrlPr>
                                  <a:rPr kumimoji="1" lang="en-US" altLang="ja-JP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ja-JP" altLang="en-US" sz="1400" b="0" i="1">
                                    <a:latin typeface="Cambria Math"/>
                                  </a:rPr>
                                  <m:t>裏</m:t>
                                </m:r>
                              </m:e>
                            </m:d>
                          </m:e>
                        </m:eqAr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C0D81704-655B-2C49-8CB3-2532FD2F0B58}"/>
                </a:ext>
              </a:extLst>
            </xdr:cNvPr>
            <xdr:cNvSpPr txBox="1"/>
          </xdr:nvSpPr>
          <xdr:spPr>
            <a:xfrm>
              <a:off x="1866900" y="2133600"/>
              <a:ext cx="914400" cy="57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400" i="0">
                  <a:latin typeface="Cambria Math" panose="02040503050406030204" pitchFamily="18" charset="0"/>
                </a:rPr>
                <a:t>{█(</a:t>
              </a:r>
              <a:r>
                <a:rPr kumimoji="1" lang="en-US" altLang="ja-JP" sz="1400" b="0" i="0">
                  <a:latin typeface="Cambria Math"/>
                </a:rPr>
                <a:t>𝐴=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{</a:t>
              </a:r>
              <a:r>
                <a:rPr kumimoji="1" lang="ja-JP" altLang="en-US" sz="1400" b="0" i="0">
                  <a:latin typeface="Cambria Math"/>
                </a:rPr>
                <a:t>表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}@</a:t>
              </a:r>
              <a:r>
                <a:rPr kumimoji="1" lang="en-US" altLang="ja-JP" sz="1400" b="0" i="0">
                  <a:latin typeface="Cambria Math"/>
                </a:rPr>
                <a:t>𝐴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400" b="0" i="0">
                  <a:latin typeface="Cambria Math"/>
                </a:rPr>
                <a:t>=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{</a:t>
              </a:r>
              <a:r>
                <a:rPr kumimoji="1" lang="ja-JP" altLang="en-US" sz="1400" b="0" i="0">
                  <a:latin typeface="Cambria Math"/>
                </a:rPr>
                <a:t>裏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} )┤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7</xdr:col>
      <xdr:colOff>0</xdr:colOff>
      <xdr:row>16</xdr:row>
      <xdr:rowOff>0</xdr:rowOff>
    </xdr:from>
    <xdr:ext cx="1385888" cy="3127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C6EB7E6C-88A4-574C-963B-E554432DCD0E}"/>
                </a:ext>
              </a:extLst>
            </xdr:cNvPr>
            <xdr:cNvSpPr txBox="1"/>
          </xdr:nvSpPr>
          <xdr:spPr>
            <a:xfrm>
              <a:off x="1866900" y="2844800"/>
              <a:ext cx="1385888" cy="312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1400" b="0" i="0">
                        <a:latin typeface="Cambria Math"/>
                      </a:rPr>
                      <m:t>Ω</m:t>
                    </m:r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ja-JP" altLang="en-US" sz="1400" b="0" i="1">
                            <a:latin typeface="Cambria Math"/>
                          </a:rPr>
                          <m:t>表</m:t>
                        </m:r>
                        <m:r>
                          <a:rPr kumimoji="1" lang="en-US" altLang="ja-JP" sz="1400" b="0" i="1">
                            <a:latin typeface="Cambria Math"/>
                          </a:rPr>
                          <m:t>, </m:t>
                        </m:r>
                        <m:r>
                          <a:rPr kumimoji="1" lang="ja-JP" altLang="en-US" sz="1400" b="0" i="1">
                            <a:latin typeface="Cambria Math"/>
                          </a:rPr>
                          <m:t>裏</m:t>
                        </m: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C6EB7E6C-88A4-574C-963B-E554432DCD0E}"/>
                </a:ext>
              </a:extLst>
            </xdr:cNvPr>
            <xdr:cNvSpPr txBox="1"/>
          </xdr:nvSpPr>
          <xdr:spPr>
            <a:xfrm>
              <a:off x="1866900" y="2844800"/>
              <a:ext cx="1385888" cy="312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Ω=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{</a:t>
              </a:r>
              <a:r>
                <a:rPr kumimoji="1" lang="ja-JP" altLang="en-US" sz="1400" b="0" i="0">
                  <a:latin typeface="Cambria Math"/>
                </a:rPr>
                <a:t>表</a:t>
              </a:r>
              <a:r>
                <a:rPr kumimoji="1" lang="en-US" altLang="ja-JP" sz="1400" b="0" i="0">
                  <a:latin typeface="Cambria Math"/>
                </a:rPr>
                <a:t>, </a:t>
              </a:r>
              <a:r>
                <a:rPr kumimoji="1" lang="ja-JP" altLang="en-US" sz="1400" b="0" i="0">
                  <a:latin typeface="Cambria Math"/>
                </a:rPr>
                <a:t>裏</a:t>
              </a:r>
              <a:r>
                <a:rPr kumimoji="1" lang="ja-JP" altLang="en-US" sz="1400" b="0" i="0">
                  <a:latin typeface="Cambria Math" panose="02040503050406030204" pitchFamily="18" charset="0"/>
                </a:rPr>
                <a:t>}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7</xdr:col>
      <xdr:colOff>0</xdr:colOff>
      <xdr:row>21</xdr:row>
      <xdr:rowOff>0</xdr:rowOff>
    </xdr:from>
    <xdr:ext cx="1385888" cy="3127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829C4AF2-51BB-C64E-9CC4-24749DACAC16}"/>
                </a:ext>
              </a:extLst>
            </xdr:cNvPr>
            <xdr:cNvSpPr txBox="1"/>
          </xdr:nvSpPr>
          <xdr:spPr>
            <a:xfrm>
              <a:off x="1866900" y="3733800"/>
              <a:ext cx="1385888" cy="312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𝐴</m:t>
                    </m:r>
                    <m:r>
                      <a:rPr kumimoji="1" lang="en-US" altLang="ja-JP" sz="1400" b="0" i="1">
                        <a:latin typeface="Cambria Math"/>
                        <a:ea typeface="Cambria Math"/>
                      </a:rPr>
                      <m:t>∪</m:t>
                    </m:r>
                    <m:r>
                      <a:rPr kumimoji="1" lang="en-US" altLang="ja-JP" sz="1400" b="0" i="1">
                        <a:latin typeface="Cambria Math"/>
                        <a:ea typeface="Cambria Math"/>
                      </a:rPr>
                      <m:t>𝐵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829C4AF2-51BB-C64E-9CC4-24749DACAC16}"/>
                </a:ext>
              </a:extLst>
            </xdr:cNvPr>
            <xdr:cNvSpPr txBox="1"/>
          </xdr:nvSpPr>
          <xdr:spPr>
            <a:xfrm>
              <a:off x="1866900" y="3733800"/>
              <a:ext cx="1385888" cy="312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𝐴</a:t>
              </a:r>
              <a:r>
                <a:rPr kumimoji="1" lang="en-US" altLang="ja-JP" sz="1400" b="0" i="0">
                  <a:latin typeface="Cambria Math"/>
                  <a:ea typeface="Cambria Math"/>
                </a:rPr>
                <a:t>∪𝐵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1385888" cy="3127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FEFBA734-69BF-1B4B-A7E0-20DA7243E9DC}"/>
                </a:ext>
              </a:extLst>
            </xdr:cNvPr>
            <xdr:cNvSpPr txBox="1"/>
          </xdr:nvSpPr>
          <xdr:spPr>
            <a:xfrm>
              <a:off x="1866900" y="4267200"/>
              <a:ext cx="1385888" cy="312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𝐴</m:t>
                    </m:r>
                    <m:r>
                      <a:rPr kumimoji="1" lang="en-US" altLang="ja-JP" sz="1400" b="0" i="1">
                        <a:latin typeface="Cambria Math"/>
                        <a:ea typeface="Cambria Math"/>
                      </a:rPr>
                      <m:t>∩</m:t>
                    </m:r>
                    <m:r>
                      <a:rPr kumimoji="1" lang="en-US" altLang="ja-JP" sz="1400" b="0" i="1">
                        <a:latin typeface="Cambria Math"/>
                        <a:ea typeface="Cambria Math"/>
                      </a:rPr>
                      <m:t>𝐵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FEFBA734-69BF-1B4B-A7E0-20DA7243E9DC}"/>
                </a:ext>
              </a:extLst>
            </xdr:cNvPr>
            <xdr:cNvSpPr txBox="1"/>
          </xdr:nvSpPr>
          <xdr:spPr>
            <a:xfrm>
              <a:off x="1866900" y="4267200"/>
              <a:ext cx="1385888" cy="312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𝐴</a:t>
              </a:r>
              <a:r>
                <a:rPr kumimoji="1" lang="en-US" altLang="ja-JP" sz="1400" b="0" i="0">
                  <a:latin typeface="Cambria Math"/>
                  <a:ea typeface="Cambria Math"/>
                </a:rPr>
                <a:t>∩𝐵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1385888" cy="3127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6F6E4441-0CD5-6C4D-9F10-B3CA89CD972B}"/>
                </a:ext>
              </a:extLst>
            </xdr:cNvPr>
            <xdr:cNvSpPr txBox="1"/>
          </xdr:nvSpPr>
          <xdr:spPr>
            <a:xfrm>
              <a:off x="1866900" y="4622800"/>
              <a:ext cx="1385888" cy="312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400" b="0" i="1">
                        <a:latin typeface="Cambria Math"/>
                      </a:rPr>
                      <m:t>𝐴</m:t>
                    </m:r>
                    <m:r>
                      <a:rPr kumimoji="1" lang="en-US" altLang="ja-JP" sz="1400" b="0" i="1">
                        <a:latin typeface="Cambria Math"/>
                        <a:ea typeface="Cambria Math"/>
                      </a:rPr>
                      <m:t>∩</m:t>
                    </m:r>
                    <m:r>
                      <a:rPr kumimoji="1" lang="en-US" altLang="ja-JP" sz="1400" b="0" i="1">
                        <a:latin typeface="Cambria Math"/>
                        <a:ea typeface="Cambria Math"/>
                      </a:rPr>
                      <m:t>𝐵</m:t>
                    </m:r>
                    <m:r>
                      <a:rPr kumimoji="1" lang="en-US" altLang="ja-JP" sz="1400" b="0" i="1">
                        <a:latin typeface="Cambria Math"/>
                        <a:ea typeface="Cambria Math"/>
                      </a:rPr>
                      <m:t>=</m:t>
                    </m:r>
                    <m:r>
                      <a:rPr kumimoji="1" lang="en-US" altLang="ja-JP" sz="1400" b="0" i="1">
                        <a:latin typeface="Cambria Math"/>
                        <a:ea typeface="Cambria Math"/>
                      </a:rPr>
                      <m:t>𝜙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6F6E4441-0CD5-6C4D-9F10-B3CA89CD972B}"/>
                </a:ext>
              </a:extLst>
            </xdr:cNvPr>
            <xdr:cNvSpPr txBox="1"/>
          </xdr:nvSpPr>
          <xdr:spPr>
            <a:xfrm>
              <a:off x="1866900" y="4622800"/>
              <a:ext cx="1385888" cy="3127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𝐴</a:t>
              </a:r>
              <a:r>
                <a:rPr kumimoji="1" lang="en-US" altLang="ja-JP" sz="1400" b="0" i="0">
                  <a:latin typeface="Cambria Math"/>
                  <a:ea typeface="Cambria Math"/>
                </a:rPr>
                <a:t>∩𝐵=𝜙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19</xdr:col>
      <xdr:colOff>0</xdr:colOff>
      <xdr:row>11</xdr:row>
      <xdr:rowOff>0</xdr:rowOff>
    </xdr:from>
    <xdr:ext cx="1479688" cy="1081877"/>
    <xdr:pic>
      <xdr:nvPicPr>
        <xdr:cNvPr id="7" name="図 6">
          <a:extLst>
            <a:ext uri="{FF2B5EF4-FFF2-40B4-BE49-F238E27FC236}">
              <a16:creationId xmlns:a16="http://schemas.microsoft.com/office/drawing/2014/main" id="{8E8DF1A4-1568-CA4B-A98A-8835FFC52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1955800"/>
          <a:ext cx="1479688" cy="108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14</xdr:row>
      <xdr:rowOff>178597</xdr:rowOff>
    </xdr:from>
    <xdr:ext cx="1479688" cy="1373686"/>
    <xdr:pic>
      <xdr:nvPicPr>
        <xdr:cNvPr id="8" name="図 7">
          <a:extLst>
            <a:ext uri="{FF2B5EF4-FFF2-40B4-BE49-F238E27FC236}">
              <a16:creationId xmlns:a16="http://schemas.microsoft.com/office/drawing/2014/main" id="{26F4508C-2731-FB4E-9882-5D878DC53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2667797"/>
          <a:ext cx="1479688" cy="1373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19</xdr:row>
      <xdr:rowOff>226220</xdr:rowOff>
    </xdr:from>
    <xdr:ext cx="1479688" cy="1187879"/>
    <xdr:pic>
      <xdr:nvPicPr>
        <xdr:cNvPr id="9" name="図 8">
          <a:extLst>
            <a:ext uri="{FF2B5EF4-FFF2-40B4-BE49-F238E27FC236}">
              <a16:creationId xmlns:a16="http://schemas.microsoft.com/office/drawing/2014/main" id="{72197CE8-027B-5544-B1DC-E58E84C7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3553620"/>
          <a:ext cx="1479688" cy="1187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23</xdr:row>
      <xdr:rowOff>154784</xdr:rowOff>
    </xdr:from>
    <xdr:ext cx="1479688" cy="1187879"/>
    <xdr:pic>
      <xdr:nvPicPr>
        <xdr:cNvPr id="10" name="図 9">
          <a:extLst>
            <a:ext uri="{FF2B5EF4-FFF2-40B4-BE49-F238E27FC236}">
              <a16:creationId xmlns:a16="http://schemas.microsoft.com/office/drawing/2014/main" id="{91AABCB9-6C04-8949-AFFA-63429CD6C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4244184"/>
          <a:ext cx="1479688" cy="1187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0</xdr:colOff>
      <xdr:row>27</xdr:row>
      <xdr:rowOff>59536</xdr:rowOff>
    </xdr:from>
    <xdr:ext cx="1479688" cy="1179942"/>
    <xdr:pic>
      <xdr:nvPicPr>
        <xdr:cNvPr id="11" name="図 10">
          <a:extLst>
            <a:ext uri="{FF2B5EF4-FFF2-40B4-BE49-F238E27FC236}">
              <a16:creationId xmlns:a16="http://schemas.microsoft.com/office/drawing/2014/main" id="{2D1BA784-441E-5C4C-91DA-79FABA0F7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4860136"/>
          <a:ext cx="1479688" cy="1179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0</xdr:colOff>
      <xdr:row>3</xdr:row>
      <xdr:rowOff>0</xdr:rowOff>
    </xdr:from>
    <xdr:ext cx="9144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F0542B2D-C4CD-FC42-993D-329C566C0944}"/>
                </a:ext>
              </a:extLst>
            </xdr:cNvPr>
            <xdr:cNvSpPr txBox="1"/>
          </xdr:nvSpPr>
          <xdr:spPr>
            <a:xfrm>
              <a:off x="9067800" y="5334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200" b="0" i="1">
                        <a:latin typeface="Cambria Math"/>
                      </a:rPr>
                      <m:t>𝐴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F0542B2D-C4CD-FC42-993D-329C566C0944}"/>
                </a:ext>
              </a:extLst>
            </xdr:cNvPr>
            <xdr:cNvSpPr txBox="1"/>
          </xdr:nvSpPr>
          <xdr:spPr>
            <a:xfrm>
              <a:off x="9067800" y="5334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𝐴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34</xdr:col>
      <xdr:colOff>0</xdr:colOff>
      <xdr:row>4</xdr:row>
      <xdr:rowOff>0</xdr:rowOff>
    </xdr:from>
    <xdr:ext cx="914400" cy="2845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086339A9-D316-584A-8AB0-6CAC412C9579}"/>
                </a:ext>
              </a:extLst>
            </xdr:cNvPr>
            <xdr:cNvSpPr txBox="1"/>
          </xdr:nvSpPr>
          <xdr:spPr>
            <a:xfrm>
              <a:off x="9067800" y="711200"/>
              <a:ext cx="914400" cy="284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𝐴</m:t>
                        </m:r>
                      </m:e>
                    </m:acc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086339A9-D316-584A-8AB0-6CAC412C9579}"/>
                </a:ext>
              </a:extLst>
            </xdr:cNvPr>
            <xdr:cNvSpPr txBox="1"/>
          </xdr:nvSpPr>
          <xdr:spPr>
            <a:xfrm>
              <a:off x="9067800" y="711200"/>
              <a:ext cx="914400" cy="284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 ̅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34</xdr:col>
      <xdr:colOff>0</xdr:colOff>
      <xdr:row>9</xdr:row>
      <xdr:rowOff>0</xdr:rowOff>
    </xdr:from>
    <xdr:ext cx="9144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6A7E64D3-25C9-5F4F-B1E2-5A43218AA548}"/>
                </a:ext>
              </a:extLst>
            </xdr:cNvPr>
            <xdr:cNvSpPr txBox="1"/>
          </xdr:nvSpPr>
          <xdr:spPr>
            <a:xfrm>
              <a:off x="9067800" y="16002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200" b="0" i="1">
                        <a:latin typeface="Cambria Math"/>
                      </a:rPr>
                      <m:t>𝐵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14" name="テキスト ボックス 13">
              <a:extLst>
                <a:ext uri="{FF2B5EF4-FFF2-40B4-BE49-F238E27FC236}">
                  <a16:creationId xmlns:a16="http://schemas.microsoft.com/office/drawing/2014/main" id="{6A7E64D3-25C9-5F4F-B1E2-5A43218AA548}"/>
                </a:ext>
              </a:extLst>
            </xdr:cNvPr>
            <xdr:cNvSpPr txBox="1"/>
          </xdr:nvSpPr>
          <xdr:spPr>
            <a:xfrm>
              <a:off x="9067800" y="16002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𝐵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34</xdr:col>
      <xdr:colOff>0</xdr:colOff>
      <xdr:row>10</xdr:row>
      <xdr:rowOff>0</xdr:rowOff>
    </xdr:from>
    <xdr:ext cx="914400" cy="28071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185E7009-AEC2-7448-BC73-B3A400200CB9}"/>
                </a:ext>
              </a:extLst>
            </xdr:cNvPr>
            <xdr:cNvSpPr txBox="1"/>
          </xdr:nvSpPr>
          <xdr:spPr>
            <a:xfrm>
              <a:off x="9067800" y="1778000"/>
              <a:ext cx="914400" cy="280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𝐵</m:t>
                        </m:r>
                      </m:e>
                    </m:acc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15" name="テキスト ボックス 14">
              <a:extLst>
                <a:ext uri="{FF2B5EF4-FFF2-40B4-BE49-F238E27FC236}">
                  <a16:creationId xmlns:a16="http://schemas.microsoft.com/office/drawing/2014/main" id="{185E7009-AEC2-7448-BC73-B3A400200CB9}"/>
                </a:ext>
              </a:extLst>
            </xdr:cNvPr>
            <xdr:cNvSpPr txBox="1"/>
          </xdr:nvSpPr>
          <xdr:spPr>
            <a:xfrm>
              <a:off x="9067800" y="1778000"/>
              <a:ext cx="914400" cy="2807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𝐵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 ̅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34</xdr:col>
      <xdr:colOff>0</xdr:colOff>
      <xdr:row>16</xdr:row>
      <xdr:rowOff>0</xdr:rowOff>
    </xdr:from>
    <xdr:ext cx="9144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テキスト ボックス 15">
              <a:extLst>
                <a:ext uri="{FF2B5EF4-FFF2-40B4-BE49-F238E27FC236}">
                  <a16:creationId xmlns:a16="http://schemas.microsoft.com/office/drawing/2014/main" id="{F471AD97-DA53-F147-9403-5F987AB177BD}"/>
                </a:ext>
              </a:extLst>
            </xdr:cNvPr>
            <xdr:cNvSpPr txBox="1"/>
          </xdr:nvSpPr>
          <xdr:spPr>
            <a:xfrm>
              <a:off x="9067800" y="28448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1200" b="0" i="0">
                        <a:latin typeface="Cambria Math"/>
                      </a:rPr>
                      <m:t>Ω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16" name="テキスト ボックス 15">
              <a:extLst>
                <a:ext uri="{FF2B5EF4-FFF2-40B4-BE49-F238E27FC236}">
                  <a16:creationId xmlns:a16="http://schemas.microsoft.com/office/drawing/2014/main" id="{F471AD97-DA53-F147-9403-5F987AB177BD}"/>
                </a:ext>
              </a:extLst>
            </xdr:cNvPr>
            <xdr:cNvSpPr txBox="1"/>
          </xdr:nvSpPr>
          <xdr:spPr>
            <a:xfrm>
              <a:off x="9067800" y="28448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Ω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40</xdr:col>
      <xdr:colOff>0</xdr:colOff>
      <xdr:row>18</xdr:row>
      <xdr:rowOff>0</xdr:rowOff>
    </xdr:from>
    <xdr:ext cx="26670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テキスト ボックス 16">
              <a:extLst>
                <a:ext uri="{FF2B5EF4-FFF2-40B4-BE49-F238E27FC236}">
                  <a16:creationId xmlns:a16="http://schemas.microsoft.com/office/drawing/2014/main" id="{74D543B4-1E10-6643-8DB2-F9B13CBC4917}"/>
                </a:ext>
              </a:extLst>
            </xdr:cNvPr>
            <xdr:cNvSpPr txBox="1"/>
          </xdr:nvSpPr>
          <xdr:spPr>
            <a:xfrm>
              <a:off x="10668000" y="3200400"/>
              <a:ext cx="26670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1200" b="0" i="0">
                        <a:latin typeface="Cambria Math"/>
                      </a:rPr>
                      <m:t>Ω</m:t>
                    </m:r>
                    <m:r>
                      <a:rPr kumimoji="1" lang="en-US" altLang="ja-JP" sz="1200" b="0" i="0">
                        <a:latin typeface="Cambria Math"/>
                      </a:rPr>
                      <m:t>={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1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2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3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4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5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6</m:t>
                        </m:r>
                      </m:sub>
                    </m:sSub>
                    <m:r>
                      <a:rPr kumimoji="1" lang="en-US" altLang="ja-JP" sz="1200" b="0" i="0">
                        <a:latin typeface="Cambria Math"/>
                      </a:rPr>
                      <m:t>}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17" name="テキスト ボックス 16">
              <a:extLst>
                <a:ext uri="{FF2B5EF4-FFF2-40B4-BE49-F238E27FC236}">
                  <a16:creationId xmlns:a16="http://schemas.microsoft.com/office/drawing/2014/main" id="{74D543B4-1E10-6643-8DB2-F9B13CBC4917}"/>
                </a:ext>
              </a:extLst>
            </xdr:cNvPr>
            <xdr:cNvSpPr txBox="1"/>
          </xdr:nvSpPr>
          <xdr:spPr>
            <a:xfrm>
              <a:off x="10668000" y="3200400"/>
              <a:ext cx="26670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Ω={𝜔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1,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2,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3,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4,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5,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6}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33</xdr:col>
      <xdr:colOff>59535</xdr:colOff>
      <xdr:row>19</xdr:row>
      <xdr:rowOff>0</xdr:rowOff>
    </xdr:from>
    <xdr:ext cx="9144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C7984ED7-A19D-C241-A4B6-0BBEA1316981}"/>
                </a:ext>
              </a:extLst>
            </xdr:cNvPr>
            <xdr:cNvSpPr txBox="1"/>
          </xdr:nvSpPr>
          <xdr:spPr>
            <a:xfrm>
              <a:off x="8860635" y="33782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200" b="0" i="1">
                        <a:latin typeface="Cambria Math"/>
                      </a:rPr>
                      <m:t>𝐴</m:t>
                    </m:r>
                    <m:r>
                      <a:rPr kumimoji="1" lang="en-US" altLang="ja-JP" sz="1200" b="0" i="1">
                        <a:latin typeface="Cambria Math"/>
                        <a:ea typeface="Cambria Math"/>
                      </a:rPr>
                      <m:t>∪</m:t>
                    </m:r>
                    <m:r>
                      <a:rPr kumimoji="1" lang="en-US" altLang="ja-JP" sz="1200" b="0" i="1">
                        <a:latin typeface="Cambria Math"/>
                      </a:rPr>
                      <m:t>𝐵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C7984ED7-A19D-C241-A4B6-0BBEA1316981}"/>
                </a:ext>
              </a:extLst>
            </xdr:cNvPr>
            <xdr:cNvSpPr txBox="1"/>
          </xdr:nvSpPr>
          <xdr:spPr>
            <a:xfrm>
              <a:off x="8860635" y="33782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/>
                  <a:ea typeface="Cambria Math"/>
                </a:rPr>
                <a:t>∪</a:t>
              </a:r>
              <a:r>
                <a:rPr kumimoji="1" lang="en-US" altLang="ja-JP" sz="1200" b="0" i="0">
                  <a:latin typeface="Cambria Math"/>
                </a:rPr>
                <a:t>𝐵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33</xdr:col>
      <xdr:colOff>59535</xdr:colOff>
      <xdr:row>20</xdr:row>
      <xdr:rowOff>0</xdr:rowOff>
    </xdr:from>
    <xdr:ext cx="9144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3A79F9DB-5BFB-D64B-AD9B-171D30BD8B9C}"/>
                </a:ext>
              </a:extLst>
            </xdr:cNvPr>
            <xdr:cNvSpPr txBox="1"/>
          </xdr:nvSpPr>
          <xdr:spPr>
            <a:xfrm>
              <a:off x="8860635" y="35560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200" b="0" i="1">
                        <a:latin typeface="Cambria Math"/>
                      </a:rPr>
                      <m:t>𝐴</m:t>
                    </m:r>
                    <m:r>
                      <a:rPr kumimoji="1" lang="en-US" altLang="ja-JP" sz="1200" b="0" i="1">
                        <a:latin typeface="Cambria Math"/>
                        <a:ea typeface="Cambria Math"/>
                      </a:rPr>
                      <m:t>∩</m:t>
                    </m:r>
                    <m:r>
                      <a:rPr kumimoji="1" lang="en-US" altLang="ja-JP" sz="1200" b="0" i="1">
                        <a:latin typeface="Cambria Math"/>
                      </a:rPr>
                      <m:t>𝐵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3A79F9DB-5BFB-D64B-AD9B-171D30BD8B9C}"/>
                </a:ext>
              </a:extLst>
            </xdr:cNvPr>
            <xdr:cNvSpPr txBox="1"/>
          </xdr:nvSpPr>
          <xdr:spPr>
            <a:xfrm>
              <a:off x="8860635" y="35560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/>
                  <a:ea typeface="Cambria Math"/>
                </a:rPr>
                <a:t>∩</a:t>
              </a:r>
              <a:r>
                <a:rPr kumimoji="1" lang="en-US" altLang="ja-JP" sz="1200" b="0" i="0">
                  <a:latin typeface="Cambria Math"/>
                </a:rPr>
                <a:t>𝐵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38</xdr:col>
      <xdr:colOff>0</xdr:colOff>
      <xdr:row>25</xdr:row>
      <xdr:rowOff>0</xdr:rowOff>
    </xdr:from>
    <xdr:ext cx="26670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47903B99-64BA-2E44-8875-89D4A30DE7AF}"/>
                </a:ext>
              </a:extLst>
            </xdr:cNvPr>
            <xdr:cNvSpPr txBox="1"/>
          </xdr:nvSpPr>
          <xdr:spPr>
            <a:xfrm>
              <a:off x="10134600" y="4445000"/>
              <a:ext cx="26670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1200" b="0" i="0">
                        <a:latin typeface="Cambria Math"/>
                      </a:rPr>
                      <m:t>Ω</m:t>
                    </m:r>
                    <m:r>
                      <a:rPr kumimoji="1" lang="en-US" altLang="ja-JP" sz="1200" b="0" i="0">
                        <a:latin typeface="Cambria Math"/>
                      </a:rPr>
                      <m:t>={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1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2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3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4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5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6</m:t>
                        </m:r>
                      </m:sub>
                    </m:sSub>
                    <m:r>
                      <a:rPr kumimoji="1" lang="en-US" altLang="ja-JP" sz="1200" b="0" i="0">
                        <a:latin typeface="Cambria Math"/>
                      </a:rPr>
                      <m:t>}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47903B99-64BA-2E44-8875-89D4A30DE7AF}"/>
                </a:ext>
              </a:extLst>
            </xdr:cNvPr>
            <xdr:cNvSpPr txBox="1"/>
          </xdr:nvSpPr>
          <xdr:spPr>
            <a:xfrm>
              <a:off x="10134600" y="4445000"/>
              <a:ext cx="26670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Ω={𝜔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1,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2,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3,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4,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5,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6}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37</xdr:col>
      <xdr:colOff>0</xdr:colOff>
      <xdr:row>26</xdr:row>
      <xdr:rowOff>0</xdr:rowOff>
    </xdr:from>
    <xdr:ext cx="26670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436CB2E8-60B9-C84A-A31D-5CD0E35CC7D8}"/>
                </a:ext>
              </a:extLst>
            </xdr:cNvPr>
            <xdr:cNvSpPr txBox="1"/>
          </xdr:nvSpPr>
          <xdr:spPr>
            <a:xfrm>
              <a:off x="9867900" y="4622800"/>
              <a:ext cx="26670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1200" b="0" i="0">
                        <a:latin typeface="Cambria Math"/>
                      </a:rPr>
                      <m:t>A</m:t>
                    </m:r>
                    <m:r>
                      <a:rPr kumimoji="1" lang="en-US" altLang="ja-JP" sz="1200" b="0" i="0">
                        <a:latin typeface="Cambria Math"/>
                      </a:rPr>
                      <m:t>={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4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5</m:t>
                        </m:r>
                      </m:sub>
                    </m:sSub>
                    <m:r>
                      <a:rPr kumimoji="1" lang="en-US" altLang="ja-JP" sz="1200" b="0" i="1">
                        <a:latin typeface="Cambria Math"/>
                      </a:rPr>
                      <m:t>, 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6</m:t>
                        </m:r>
                      </m:sub>
                    </m:sSub>
                    <m:r>
                      <a:rPr kumimoji="1" lang="en-US" altLang="ja-JP" sz="1200" b="0" i="0">
                        <a:latin typeface="Cambria Math"/>
                      </a:rPr>
                      <m:t>}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21" name="テキスト ボックス 20">
              <a:extLst>
                <a:ext uri="{FF2B5EF4-FFF2-40B4-BE49-F238E27FC236}">
                  <a16:creationId xmlns:a16="http://schemas.microsoft.com/office/drawing/2014/main" id="{436CB2E8-60B9-C84A-A31D-5CD0E35CC7D8}"/>
                </a:ext>
              </a:extLst>
            </xdr:cNvPr>
            <xdr:cNvSpPr txBox="1"/>
          </xdr:nvSpPr>
          <xdr:spPr>
            <a:xfrm>
              <a:off x="9867900" y="4622800"/>
              <a:ext cx="26670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A={𝜔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4,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5, 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6}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37</xdr:col>
      <xdr:colOff>0</xdr:colOff>
      <xdr:row>27</xdr:row>
      <xdr:rowOff>0</xdr:rowOff>
    </xdr:from>
    <xdr:ext cx="26670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テキスト ボックス 21">
              <a:extLst>
                <a:ext uri="{FF2B5EF4-FFF2-40B4-BE49-F238E27FC236}">
                  <a16:creationId xmlns:a16="http://schemas.microsoft.com/office/drawing/2014/main" id="{FEE08C25-67AF-5645-9270-1CA1A1D6F382}"/>
                </a:ext>
              </a:extLst>
            </xdr:cNvPr>
            <xdr:cNvSpPr txBox="1"/>
          </xdr:nvSpPr>
          <xdr:spPr>
            <a:xfrm>
              <a:off x="9867900" y="4800600"/>
              <a:ext cx="26670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kumimoji="1" lang="en-US" altLang="ja-JP" sz="1200" b="0" i="0">
                        <a:latin typeface="Cambria Math"/>
                      </a:rPr>
                      <m:t>B</m:t>
                    </m:r>
                    <m:r>
                      <a:rPr kumimoji="1" lang="en-US" altLang="ja-JP" sz="1200" b="0" i="0">
                        <a:latin typeface="Cambria Math"/>
                      </a:rPr>
                      <m:t>={</m:t>
                    </m:r>
                    <m:sSub>
                      <m:sSub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𝜔</m:t>
                        </m:r>
                      </m:e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1</m:t>
                        </m:r>
                      </m:sub>
                    </m:sSub>
                    <m:r>
                      <a:rPr kumimoji="1" lang="en-US" altLang="ja-JP" sz="1200" b="0" i="0">
                        <a:latin typeface="Cambria Math"/>
                      </a:rPr>
                      <m:t>}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22" name="テキスト ボックス 21">
              <a:extLst>
                <a:ext uri="{FF2B5EF4-FFF2-40B4-BE49-F238E27FC236}">
                  <a16:creationId xmlns:a16="http://schemas.microsoft.com/office/drawing/2014/main" id="{FEE08C25-67AF-5645-9270-1CA1A1D6F382}"/>
                </a:ext>
              </a:extLst>
            </xdr:cNvPr>
            <xdr:cNvSpPr txBox="1"/>
          </xdr:nvSpPr>
          <xdr:spPr>
            <a:xfrm>
              <a:off x="9867900" y="4800600"/>
              <a:ext cx="26670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B={𝜔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1}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35</xdr:col>
      <xdr:colOff>59535</xdr:colOff>
      <xdr:row>28</xdr:row>
      <xdr:rowOff>0</xdr:rowOff>
    </xdr:from>
    <xdr:ext cx="9144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1B97E1CD-6FDC-7E4E-99BC-47965ECCE5F2}"/>
                </a:ext>
              </a:extLst>
            </xdr:cNvPr>
            <xdr:cNvSpPr txBox="1"/>
          </xdr:nvSpPr>
          <xdr:spPr>
            <a:xfrm>
              <a:off x="9394035" y="49784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200" b="0" i="1">
                        <a:latin typeface="Cambria Math"/>
                      </a:rPr>
                      <m:t>𝐴</m:t>
                    </m:r>
                    <m:r>
                      <a:rPr kumimoji="1" lang="en-US" altLang="ja-JP" sz="1200" b="0" i="1">
                        <a:latin typeface="Cambria Math"/>
                        <a:ea typeface="Cambria Math"/>
                      </a:rPr>
                      <m:t>∪</m:t>
                    </m:r>
                    <m:r>
                      <a:rPr kumimoji="1" lang="en-US" altLang="ja-JP" sz="1200" b="0" i="1">
                        <a:latin typeface="Cambria Math"/>
                      </a:rPr>
                      <m:t>𝐵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1B97E1CD-6FDC-7E4E-99BC-47965ECCE5F2}"/>
                </a:ext>
              </a:extLst>
            </xdr:cNvPr>
            <xdr:cNvSpPr txBox="1"/>
          </xdr:nvSpPr>
          <xdr:spPr>
            <a:xfrm>
              <a:off x="9394035" y="49784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/>
                  <a:ea typeface="Cambria Math"/>
                </a:rPr>
                <a:t>∪</a:t>
              </a:r>
              <a:r>
                <a:rPr kumimoji="1" lang="en-US" altLang="ja-JP" sz="1200" b="0" i="0">
                  <a:latin typeface="Cambria Math"/>
                </a:rPr>
                <a:t>𝐵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35</xdr:col>
      <xdr:colOff>59535</xdr:colOff>
      <xdr:row>29</xdr:row>
      <xdr:rowOff>0</xdr:rowOff>
    </xdr:from>
    <xdr:ext cx="914400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1C6CD2E3-E2A1-5F42-BF4D-96C54B077F00}"/>
                </a:ext>
              </a:extLst>
            </xdr:cNvPr>
            <xdr:cNvSpPr txBox="1"/>
          </xdr:nvSpPr>
          <xdr:spPr>
            <a:xfrm>
              <a:off x="9394035" y="51562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200" b="0" i="1">
                        <a:latin typeface="Cambria Math"/>
                      </a:rPr>
                      <m:t>𝐴</m:t>
                    </m:r>
                    <m:r>
                      <a:rPr kumimoji="1" lang="en-US" altLang="ja-JP" sz="1200" b="0" i="1">
                        <a:latin typeface="Cambria Math"/>
                        <a:ea typeface="Cambria Math"/>
                      </a:rPr>
                      <m:t>∩</m:t>
                    </m:r>
                    <m:r>
                      <a:rPr kumimoji="1" lang="en-US" altLang="ja-JP" sz="1200" b="0" i="1">
                        <a:latin typeface="Cambria Math"/>
                      </a:rPr>
                      <m:t>𝐵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24" name="テキスト ボックス 23">
              <a:extLst>
                <a:ext uri="{FF2B5EF4-FFF2-40B4-BE49-F238E27FC236}">
                  <a16:creationId xmlns:a16="http://schemas.microsoft.com/office/drawing/2014/main" id="{1C6CD2E3-E2A1-5F42-BF4D-96C54B077F00}"/>
                </a:ext>
              </a:extLst>
            </xdr:cNvPr>
            <xdr:cNvSpPr txBox="1"/>
          </xdr:nvSpPr>
          <xdr:spPr>
            <a:xfrm>
              <a:off x="9394035" y="5156200"/>
              <a:ext cx="914400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/>
                  <a:ea typeface="Cambria Math"/>
                </a:rPr>
                <a:t>∩</a:t>
              </a:r>
              <a:r>
                <a:rPr kumimoji="1" lang="en-US" altLang="ja-JP" sz="1200" b="0" i="0">
                  <a:latin typeface="Cambria Math"/>
                </a:rPr>
                <a:t>𝐵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64</xdr:col>
      <xdr:colOff>71447</xdr:colOff>
      <xdr:row>6</xdr:row>
      <xdr:rowOff>0</xdr:rowOff>
    </xdr:from>
    <xdr:ext cx="1909763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テキスト ボックス 27">
              <a:extLst>
                <a:ext uri="{FF2B5EF4-FFF2-40B4-BE49-F238E27FC236}">
                  <a16:creationId xmlns:a16="http://schemas.microsoft.com/office/drawing/2014/main" id="{69FC3912-2390-2844-A26B-5FCCB4BFBEF9}"/>
                </a:ext>
              </a:extLst>
            </xdr:cNvPr>
            <xdr:cNvSpPr txBox="1"/>
          </xdr:nvSpPr>
          <xdr:spPr>
            <a:xfrm>
              <a:off x="17140247" y="1066800"/>
              <a:ext cx="1909763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200" b="1" i="1">
                        <a:solidFill>
                          <a:srgbClr val="FF0000"/>
                        </a:solidFill>
                        <a:latin typeface="Cambria Math"/>
                      </a:rPr>
                      <m:t>𝟎</m:t>
                    </m:r>
                    <m:r>
                      <a:rPr kumimoji="1" lang="en-US" altLang="ja-JP" sz="1200" b="1" i="1">
                        <a:solidFill>
                          <a:srgbClr val="FF0000"/>
                        </a:solidFill>
                        <a:latin typeface="Cambria Math"/>
                      </a:rPr>
                      <m:t>≤</m:t>
                    </m:r>
                    <m:func>
                      <m:funcPr>
                        <m:ctrlP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kumimoji="1" lang="en-US" altLang="ja-JP" sz="1200" b="1" i="0">
                            <a:solidFill>
                              <a:srgbClr val="FF0000"/>
                            </a:solidFill>
                            <a:latin typeface="Cambria Math"/>
                          </a:rPr>
                          <m:t>𝐏𝐫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𝑨</m:t>
                            </m:r>
                          </m:e>
                        </m:d>
                        <m: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/>
                          </a:rPr>
                          <m:t>≤</m:t>
                        </m:r>
                        <m: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/>
                          </a:rPr>
                          <m:t>𝟏</m:t>
                        </m:r>
                      </m:e>
                    </m:func>
                  </m:oMath>
                </m:oMathPara>
              </a14:m>
              <a:endParaRPr kumimoji="1" lang="ja-JP" altLang="en-US" sz="1200" b="1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25" name="テキスト ボックス 27">
              <a:extLst>
                <a:ext uri="{FF2B5EF4-FFF2-40B4-BE49-F238E27FC236}">
                  <a16:creationId xmlns:a16="http://schemas.microsoft.com/office/drawing/2014/main" id="{69FC3912-2390-2844-A26B-5FCCB4BFBEF9}"/>
                </a:ext>
              </a:extLst>
            </xdr:cNvPr>
            <xdr:cNvSpPr txBox="1"/>
          </xdr:nvSpPr>
          <xdr:spPr>
            <a:xfrm>
              <a:off x="17140247" y="1066800"/>
              <a:ext cx="1909763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𝟎≤𝐏𝐫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⁡〖(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𝑨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≤𝟏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</a:t>
              </a:r>
              <a:endParaRPr kumimoji="1" lang="ja-JP" altLang="en-US" sz="12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58</xdr:col>
      <xdr:colOff>0</xdr:colOff>
      <xdr:row>8</xdr:row>
      <xdr:rowOff>0</xdr:rowOff>
    </xdr:from>
    <xdr:ext cx="1909763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テキスト ボックス 28">
              <a:extLst>
                <a:ext uri="{FF2B5EF4-FFF2-40B4-BE49-F238E27FC236}">
                  <a16:creationId xmlns:a16="http://schemas.microsoft.com/office/drawing/2014/main" id="{D220387D-392C-2B40-AA5A-65DBE3D53761}"/>
                </a:ext>
              </a:extLst>
            </xdr:cNvPr>
            <xdr:cNvSpPr txBox="1"/>
          </xdr:nvSpPr>
          <xdr:spPr>
            <a:xfrm>
              <a:off x="15468600" y="1422400"/>
              <a:ext cx="1909763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kumimoji="1" lang="en-US" altLang="ja-JP" sz="1200" b="1" i="0">
                            <a:solidFill>
                              <a:srgbClr val="FF0000"/>
                            </a:solidFill>
                            <a:latin typeface="Cambria Math"/>
                          </a:rPr>
                          <m:t>𝐏𝐫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1" i="0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𝛀</m:t>
                            </m:r>
                          </m:e>
                        </m:d>
                        <m: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/>
                          </a:rPr>
                          <m:t>=</m:t>
                        </m:r>
                        <m: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/>
                          </a:rPr>
                          <m:t>𝟏</m:t>
                        </m:r>
                      </m:e>
                    </m:func>
                  </m:oMath>
                </m:oMathPara>
              </a14:m>
              <a:endParaRPr kumimoji="1" lang="ja-JP" altLang="en-US" sz="1200" b="1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26" name="テキスト ボックス 28">
              <a:extLst>
                <a:ext uri="{FF2B5EF4-FFF2-40B4-BE49-F238E27FC236}">
                  <a16:creationId xmlns:a16="http://schemas.microsoft.com/office/drawing/2014/main" id="{D220387D-392C-2B40-AA5A-65DBE3D53761}"/>
                </a:ext>
              </a:extLst>
            </xdr:cNvPr>
            <xdr:cNvSpPr txBox="1"/>
          </xdr:nvSpPr>
          <xdr:spPr>
            <a:xfrm>
              <a:off x="15468600" y="1422400"/>
              <a:ext cx="1909763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𝐏𝐫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⁡〖(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𝛀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=𝟏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</a:t>
              </a:r>
              <a:endParaRPr kumimoji="1" lang="ja-JP" altLang="en-US" sz="12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58</xdr:col>
      <xdr:colOff>0</xdr:colOff>
      <xdr:row>11</xdr:row>
      <xdr:rowOff>0</xdr:rowOff>
    </xdr:from>
    <xdr:ext cx="1909763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テキスト ボックス 29">
              <a:extLst>
                <a:ext uri="{FF2B5EF4-FFF2-40B4-BE49-F238E27FC236}">
                  <a16:creationId xmlns:a16="http://schemas.microsoft.com/office/drawing/2014/main" id="{25DB7EF6-6A75-054A-9CDD-569E6E72E99A}"/>
                </a:ext>
              </a:extLst>
            </xdr:cNvPr>
            <xdr:cNvSpPr txBox="1"/>
          </xdr:nvSpPr>
          <xdr:spPr>
            <a:xfrm>
              <a:off x="15468600" y="1955800"/>
              <a:ext cx="1909763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200" b="1" i="1">
                        <a:solidFill>
                          <a:srgbClr val="FF0000"/>
                        </a:solidFill>
                        <a:latin typeface="Cambria Math"/>
                      </a:rPr>
                      <m:t>𝑨</m:t>
                    </m:r>
                    <m:r>
                      <a:rPr kumimoji="1" lang="en-US" altLang="ja-JP" sz="1200" b="1" i="1">
                        <a:solidFill>
                          <a:srgbClr val="FF0000"/>
                        </a:solidFill>
                        <a:latin typeface="Cambria Math"/>
                        <a:ea typeface="Cambria Math"/>
                      </a:rPr>
                      <m:t>∩</m:t>
                    </m:r>
                    <m:r>
                      <a:rPr kumimoji="1" lang="en-US" altLang="ja-JP" sz="1200" b="1" i="1">
                        <a:solidFill>
                          <a:srgbClr val="FF0000"/>
                        </a:solidFill>
                        <a:latin typeface="Cambria Math"/>
                        <a:ea typeface="Cambria Math"/>
                      </a:rPr>
                      <m:t>𝑩</m:t>
                    </m:r>
                    <m:r>
                      <a:rPr kumimoji="1" lang="en-US" altLang="ja-JP" sz="1200" b="1" i="1">
                        <a:solidFill>
                          <a:srgbClr val="FF0000"/>
                        </a:solidFill>
                        <a:latin typeface="Cambria Math"/>
                        <a:ea typeface="Cambria Math"/>
                      </a:rPr>
                      <m:t>=</m:t>
                    </m:r>
                    <m:r>
                      <a:rPr kumimoji="1" lang="en-US" altLang="ja-JP" sz="1200" b="1" i="1">
                        <a:solidFill>
                          <a:srgbClr val="FF0000"/>
                        </a:solidFill>
                        <a:latin typeface="Cambria Math"/>
                        <a:ea typeface="Cambria Math"/>
                      </a:rPr>
                      <m:t>𝝓</m:t>
                    </m:r>
                  </m:oMath>
                </m:oMathPara>
              </a14:m>
              <a:endParaRPr kumimoji="1" lang="ja-JP" altLang="en-US" sz="1200" b="1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27" name="テキスト ボックス 29">
              <a:extLst>
                <a:ext uri="{FF2B5EF4-FFF2-40B4-BE49-F238E27FC236}">
                  <a16:creationId xmlns:a16="http://schemas.microsoft.com/office/drawing/2014/main" id="{25DB7EF6-6A75-054A-9CDD-569E6E72E99A}"/>
                </a:ext>
              </a:extLst>
            </xdr:cNvPr>
            <xdr:cNvSpPr txBox="1"/>
          </xdr:nvSpPr>
          <xdr:spPr>
            <a:xfrm>
              <a:off x="15468600" y="1955800"/>
              <a:ext cx="1909763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𝑨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  <a:ea typeface="Cambria Math"/>
                </a:rPr>
                <a:t>∩𝑩=𝝓</a:t>
              </a:r>
              <a:endParaRPr kumimoji="1" lang="ja-JP" altLang="en-US" sz="12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261936</xdr:colOff>
      <xdr:row>12</xdr:row>
      <xdr:rowOff>0</xdr:rowOff>
    </xdr:from>
    <xdr:ext cx="2619375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テキスト ボックス 30">
              <a:extLst>
                <a:ext uri="{FF2B5EF4-FFF2-40B4-BE49-F238E27FC236}">
                  <a16:creationId xmlns:a16="http://schemas.microsoft.com/office/drawing/2014/main" id="{36521002-0C8D-C049-B79D-B6A4F5922164}"/>
                </a:ext>
              </a:extLst>
            </xdr:cNvPr>
            <xdr:cNvSpPr txBox="1"/>
          </xdr:nvSpPr>
          <xdr:spPr>
            <a:xfrm>
              <a:off x="15463836" y="2133600"/>
              <a:ext cx="2619375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kumimoji="1" lang="en-US" altLang="ja-JP" sz="1200" b="1" i="0">
                            <a:solidFill>
                              <a:srgbClr val="FF0000"/>
                            </a:solidFill>
                            <a:latin typeface="Cambria Math"/>
                          </a:rPr>
                          <m:t>𝐏𝐫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𝑨</m:t>
                            </m:r>
                            <m: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/>
                                <a:ea typeface="Cambria Math"/>
                              </a:rPr>
                              <m:t>∪</m:t>
                            </m:r>
                            <m: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/>
                                <a:ea typeface="Cambria Math"/>
                              </a:rPr>
                              <m:t>𝑩</m:t>
                            </m:r>
                          </m:e>
                        </m:d>
                        <m: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/>
                          </a:rPr>
                          <m:t>=</m:t>
                        </m:r>
                      </m:e>
                    </m:func>
                    <m:func>
                      <m:funcPr>
                        <m:ctrlP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a:rPr kumimoji="1" lang="en-US" altLang="ja-JP" sz="1200" b="1" i="0">
                            <a:solidFill>
                              <a:srgbClr val="FF0000"/>
                            </a:solidFill>
                            <a:latin typeface="Cambria Math"/>
                          </a:rPr>
                          <m:t>𝐏𝐫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𝑨</m:t>
                            </m:r>
                          </m:e>
                        </m:d>
                        <m:r>
                          <a:rPr kumimoji="1" lang="en-US" altLang="ja-JP" sz="1200" b="1" i="1">
                            <a:solidFill>
                              <a:srgbClr val="FF0000"/>
                            </a:solidFill>
                            <a:latin typeface="Cambria Math"/>
                          </a:rPr>
                          <m:t>+</m:t>
                        </m:r>
                        <m:func>
                          <m:funcPr>
                            <m:ctrlPr>
                              <a:rPr kumimoji="1" lang="en-US" altLang="ja-JP" sz="1200" b="1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a:rPr kumimoji="1" lang="en-US" altLang="ja-JP" sz="1200" b="1" i="0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𝐏𝐫</m:t>
                            </m:r>
                          </m:fName>
                          <m:e>
                            <m:d>
                              <m:dPr>
                                <m:ctrlPr>
                                  <a:rPr kumimoji="1" lang="en-US" altLang="ja-JP" sz="1200" b="1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200" b="1" i="1">
                                    <a:solidFill>
                                      <a:srgbClr val="FF0000"/>
                                    </a:solidFill>
                                    <a:latin typeface="Cambria Math"/>
                                  </a:rPr>
                                  <m:t>𝑩</m:t>
                                </m:r>
                              </m:e>
                            </m:d>
                          </m:e>
                        </m:func>
                      </m:e>
                    </m:func>
                  </m:oMath>
                </m:oMathPara>
              </a14:m>
              <a:endParaRPr kumimoji="1" lang="ja-JP" altLang="en-US" sz="1200" b="1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28" name="テキスト ボックス 30">
              <a:extLst>
                <a:ext uri="{FF2B5EF4-FFF2-40B4-BE49-F238E27FC236}">
                  <a16:creationId xmlns:a16="http://schemas.microsoft.com/office/drawing/2014/main" id="{36521002-0C8D-C049-B79D-B6A4F5922164}"/>
                </a:ext>
              </a:extLst>
            </xdr:cNvPr>
            <xdr:cNvSpPr txBox="1"/>
          </xdr:nvSpPr>
          <xdr:spPr>
            <a:xfrm>
              <a:off x="15463836" y="2133600"/>
              <a:ext cx="2619375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𝐏𝐫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⁡〖(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𝑨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  <a:ea typeface="Cambria Math"/>
                </a:rPr>
                <a:t>∪𝑩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  <a:ea typeface="Cambria Math"/>
                </a:rPr>
                <a:t>)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=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〗 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 𝐏𝐫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⁡〖(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𝑨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+𝐏𝐫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/>
                </a:rPr>
                <a:t>𝑩</a:t>
              </a:r>
              <a:r>
                <a:rPr kumimoji="1" lang="en-US" altLang="ja-JP" sz="12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) 〗</a:t>
              </a:r>
              <a:endParaRPr kumimoji="1" lang="ja-JP" altLang="en-US" sz="12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57</xdr:col>
      <xdr:colOff>0</xdr:colOff>
      <xdr:row>17</xdr:row>
      <xdr:rowOff>0</xdr:rowOff>
    </xdr:from>
    <xdr:ext cx="1445419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テキスト ボックス 31">
              <a:extLst>
                <a:ext uri="{FF2B5EF4-FFF2-40B4-BE49-F238E27FC236}">
                  <a16:creationId xmlns:a16="http://schemas.microsoft.com/office/drawing/2014/main" id="{5761B7DF-3F44-6C4B-8BF3-1685CC77A920}"/>
                </a:ext>
              </a:extLst>
            </xdr:cNvPr>
            <xdr:cNvSpPr txBox="1"/>
          </xdr:nvSpPr>
          <xdr:spPr>
            <a:xfrm>
              <a:off x="15201900" y="3022600"/>
              <a:ext cx="1445419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𝜙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=0</m:t>
                        </m:r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29" name="テキスト ボックス 31">
              <a:extLst>
                <a:ext uri="{FF2B5EF4-FFF2-40B4-BE49-F238E27FC236}">
                  <a16:creationId xmlns:a16="http://schemas.microsoft.com/office/drawing/2014/main" id="{5761B7DF-3F44-6C4B-8BF3-1685CC77A920}"/>
                </a:ext>
              </a:extLst>
            </xdr:cNvPr>
            <xdr:cNvSpPr txBox="1"/>
          </xdr:nvSpPr>
          <xdr:spPr>
            <a:xfrm>
              <a:off x="15201900" y="3022600"/>
              <a:ext cx="1445419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⁡〖(</a:t>
              </a:r>
              <a:r>
                <a:rPr kumimoji="1" lang="en-US" altLang="ja-JP" sz="1200" b="0" i="0">
                  <a:latin typeface="Cambria Math"/>
                </a:rPr>
                <a:t>𝜙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=0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〗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57</xdr:col>
      <xdr:colOff>0</xdr:colOff>
      <xdr:row>19</xdr:row>
      <xdr:rowOff>0</xdr:rowOff>
    </xdr:from>
    <xdr:ext cx="1445419" cy="2845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テキスト ボックス 32">
              <a:extLst>
                <a:ext uri="{FF2B5EF4-FFF2-40B4-BE49-F238E27FC236}">
                  <a16:creationId xmlns:a16="http://schemas.microsoft.com/office/drawing/2014/main" id="{F367844B-EFF1-A04F-AD20-ECBECA8090FA}"/>
                </a:ext>
              </a:extLst>
            </xdr:cNvPr>
            <xdr:cNvSpPr txBox="1"/>
          </xdr:nvSpPr>
          <xdr:spPr>
            <a:xfrm>
              <a:off x="15201900" y="3378200"/>
              <a:ext cx="1445419" cy="284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𝐴</m:t>
                                </m:r>
                              </m:e>
                            </m:acc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=1−</m:t>
                        </m:r>
                        <m:func>
                          <m:func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kumimoji="1" lang="en-US" altLang="ja-JP" sz="1200" b="0" i="0">
                                <a:latin typeface="Cambria Math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𝐴</m:t>
                                </m:r>
                              </m:e>
                            </m:d>
                          </m:e>
                        </m:func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30" name="テキスト ボックス 32">
              <a:extLst>
                <a:ext uri="{FF2B5EF4-FFF2-40B4-BE49-F238E27FC236}">
                  <a16:creationId xmlns:a16="http://schemas.microsoft.com/office/drawing/2014/main" id="{F367844B-EFF1-A04F-AD20-ECBECA8090FA}"/>
                </a:ext>
              </a:extLst>
            </xdr:cNvPr>
            <xdr:cNvSpPr txBox="1"/>
          </xdr:nvSpPr>
          <xdr:spPr>
            <a:xfrm>
              <a:off x="15201900" y="3378200"/>
              <a:ext cx="1445419" cy="284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⁡〖(</a:t>
              </a:r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 ̅ )</a:t>
              </a:r>
              <a:r>
                <a:rPr kumimoji="1" lang="en-US" altLang="ja-JP" sz="1200" b="0" i="0">
                  <a:latin typeface="Cambria Math"/>
                </a:rPr>
                <a:t>=1−Pr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 〗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57</xdr:col>
      <xdr:colOff>0</xdr:colOff>
      <xdr:row>22</xdr:row>
      <xdr:rowOff>0</xdr:rowOff>
    </xdr:from>
    <xdr:ext cx="1445419" cy="2845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テキスト ボックス 33">
              <a:extLst>
                <a:ext uri="{FF2B5EF4-FFF2-40B4-BE49-F238E27FC236}">
                  <a16:creationId xmlns:a16="http://schemas.microsoft.com/office/drawing/2014/main" id="{E53853A0-6335-C04A-AAFC-78EF7A09D36E}"/>
                </a:ext>
              </a:extLst>
            </xdr:cNvPr>
            <xdr:cNvSpPr txBox="1"/>
          </xdr:nvSpPr>
          <xdr:spPr>
            <a:xfrm>
              <a:off x="15201900" y="3911600"/>
              <a:ext cx="1445419" cy="284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kumimoji="1" lang="en-US" altLang="ja-JP" sz="1200" b="0" i="1">
                        <a:latin typeface="Cambria Math"/>
                        <a:ea typeface="Cambria Math"/>
                      </a:rPr>
                      <m:t>𝐵</m:t>
                    </m:r>
                    <m:r>
                      <a:rPr kumimoji="1" lang="en-US" altLang="ja-JP" sz="1200" b="0" i="1">
                        <a:latin typeface="Cambria Math"/>
                        <a:ea typeface="Cambria Math"/>
                      </a:rPr>
                      <m:t>∈</m:t>
                    </m:r>
                    <m:r>
                      <a:rPr kumimoji="1" lang="en-US" altLang="ja-JP" sz="1200" b="0" i="1">
                        <a:latin typeface="Cambria Math"/>
                        <a:ea typeface="Cambria Math"/>
                      </a:rPr>
                      <m:t>𝐴</m:t>
                    </m:r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31" name="テキスト ボックス 33">
              <a:extLst>
                <a:ext uri="{FF2B5EF4-FFF2-40B4-BE49-F238E27FC236}">
                  <a16:creationId xmlns:a16="http://schemas.microsoft.com/office/drawing/2014/main" id="{E53853A0-6335-C04A-AAFC-78EF7A09D36E}"/>
                </a:ext>
              </a:extLst>
            </xdr:cNvPr>
            <xdr:cNvSpPr txBox="1"/>
          </xdr:nvSpPr>
          <xdr:spPr>
            <a:xfrm>
              <a:off x="15201900" y="3911600"/>
              <a:ext cx="1445419" cy="284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  <a:ea typeface="Cambria Math"/>
                </a:rPr>
                <a:t>𝐵∈𝐴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61</xdr:col>
      <xdr:colOff>0</xdr:colOff>
      <xdr:row>22</xdr:row>
      <xdr:rowOff>0</xdr:rowOff>
    </xdr:from>
    <xdr:ext cx="1445419" cy="2845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テキスト ボックス 34">
              <a:extLst>
                <a:ext uri="{FF2B5EF4-FFF2-40B4-BE49-F238E27FC236}">
                  <a16:creationId xmlns:a16="http://schemas.microsoft.com/office/drawing/2014/main" id="{570293D6-A667-4F43-A41E-9E05C0D015DE}"/>
                </a:ext>
              </a:extLst>
            </xdr:cNvPr>
            <xdr:cNvSpPr txBox="1"/>
          </xdr:nvSpPr>
          <xdr:spPr>
            <a:xfrm>
              <a:off x="16268700" y="3911600"/>
              <a:ext cx="1445419" cy="284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𝐵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≤</m:t>
                        </m:r>
                        <m:func>
                          <m:func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kumimoji="1" lang="en-US" altLang="ja-JP" sz="1200" b="0" i="0">
                                <a:latin typeface="Cambria Math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𝐴</m:t>
                                </m:r>
                              </m:e>
                            </m:d>
                          </m:e>
                        </m:func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32" name="テキスト ボックス 34">
              <a:extLst>
                <a:ext uri="{FF2B5EF4-FFF2-40B4-BE49-F238E27FC236}">
                  <a16:creationId xmlns:a16="http://schemas.microsoft.com/office/drawing/2014/main" id="{570293D6-A667-4F43-A41E-9E05C0D015DE}"/>
                </a:ext>
              </a:extLst>
            </xdr:cNvPr>
            <xdr:cNvSpPr txBox="1"/>
          </xdr:nvSpPr>
          <xdr:spPr>
            <a:xfrm>
              <a:off x="16268700" y="3911600"/>
              <a:ext cx="1445419" cy="284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⁡〖(</a:t>
              </a:r>
              <a:r>
                <a:rPr kumimoji="1" lang="en-US" altLang="ja-JP" sz="1200" b="0" i="0">
                  <a:latin typeface="Cambria Math"/>
                </a:rPr>
                <a:t>𝐵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≤Pr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 〗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57</xdr:col>
      <xdr:colOff>0</xdr:colOff>
      <xdr:row>23</xdr:row>
      <xdr:rowOff>0</xdr:rowOff>
    </xdr:from>
    <xdr:ext cx="2833687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テキスト ボックス 35">
              <a:extLst>
                <a:ext uri="{FF2B5EF4-FFF2-40B4-BE49-F238E27FC236}">
                  <a16:creationId xmlns:a16="http://schemas.microsoft.com/office/drawing/2014/main" id="{E9015705-FFE9-5B41-B836-2032CD89841C}"/>
                </a:ext>
              </a:extLst>
            </xdr:cNvPr>
            <xdr:cNvSpPr txBox="1"/>
          </xdr:nvSpPr>
          <xdr:spPr>
            <a:xfrm>
              <a:off x="15201900" y="4089400"/>
              <a:ext cx="2833687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200" b="0" i="1">
                                <a:latin typeface="Cambria Math"/>
                                <a:ea typeface="Cambria Math"/>
                              </a:rPr>
                              <m:t>∪</m:t>
                            </m:r>
                            <m:r>
                              <a:rPr kumimoji="1" lang="en-US" altLang="ja-JP" sz="1200" b="0" i="1">
                                <a:latin typeface="Cambria Math"/>
                                <a:ea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+</m:t>
                    </m:r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−</m:t>
                    </m:r>
                    <m:func>
                      <m:funcPr>
                        <m:ctrlPr>
                          <a:rPr kumimoji="1" lang="en-US" altLang="ja-JP" sz="12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200" b="0" i="1">
                                <a:latin typeface="Cambria Math"/>
                                <a:ea typeface="Cambria Math"/>
                              </a:rPr>
                              <m:t>∩</m:t>
                            </m:r>
                            <m:r>
                              <a:rPr kumimoji="1" lang="en-US" altLang="ja-JP" sz="1200" b="0" i="1">
                                <a:latin typeface="Cambria Math"/>
                                <a:ea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>
        <xdr:sp macro="" textlink="">
          <xdr:nvSpPr>
            <xdr:cNvPr id="33" name="テキスト ボックス 35">
              <a:extLst>
                <a:ext uri="{FF2B5EF4-FFF2-40B4-BE49-F238E27FC236}">
                  <a16:creationId xmlns:a16="http://schemas.microsoft.com/office/drawing/2014/main" id="{E9015705-FFE9-5B41-B836-2032CD89841C}"/>
                </a:ext>
              </a:extLst>
            </xdr:cNvPr>
            <xdr:cNvSpPr txBox="1"/>
          </xdr:nvSpPr>
          <xdr:spPr>
            <a:xfrm>
              <a:off x="15201900" y="4089400"/>
              <a:ext cx="2833687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/>
                  <a:ea typeface="Cambria Math"/>
                </a:rPr>
                <a:t>∪𝐵</a:t>
              </a:r>
              <a:r>
                <a:rPr kumimoji="1" lang="en-US" altLang="ja-JP" sz="1200" b="0" i="0">
                  <a:latin typeface="Cambria Math" panose="02040503050406030204" pitchFamily="18" charset="0"/>
                  <a:ea typeface="Cambria Math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=Pr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+Pr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0" i="0">
                  <a:latin typeface="Cambria Math"/>
                </a:rPr>
                <a:t>𝐵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−Pr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0" i="0">
                  <a:latin typeface="Cambria Math"/>
                </a:rPr>
                <a:t>𝐴</a:t>
              </a:r>
              <a:r>
                <a:rPr kumimoji="1" lang="en-US" altLang="ja-JP" sz="1200" b="0" i="0">
                  <a:latin typeface="Cambria Math"/>
                  <a:ea typeface="Cambria Math"/>
                </a:rPr>
                <a:t>∩𝐵</a:t>
              </a:r>
              <a:r>
                <a:rPr kumimoji="1" lang="en-US" altLang="ja-JP" sz="1200" b="0" i="0">
                  <a:latin typeface="Cambria Math" panose="02040503050406030204" pitchFamily="18" charset="0"/>
                  <a:ea typeface="Cambria Math"/>
                </a:rPr>
                <a:t>)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70</xdr:col>
      <xdr:colOff>107156</xdr:colOff>
      <xdr:row>9</xdr:row>
      <xdr:rowOff>214312</xdr:rowOff>
    </xdr:from>
    <xdr:ext cx="1479687" cy="1187879"/>
    <xdr:pic>
      <xdr:nvPicPr>
        <xdr:cNvPr id="34" name="図 36">
          <a:extLst>
            <a:ext uri="{FF2B5EF4-FFF2-40B4-BE49-F238E27FC236}">
              <a16:creationId xmlns:a16="http://schemas.microsoft.com/office/drawing/2014/main" id="{F0891A14-2CD6-FE42-B623-A658ED104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76156" y="1776412"/>
          <a:ext cx="1479687" cy="1187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71</xdr:col>
      <xdr:colOff>0</xdr:colOff>
      <xdr:row>24</xdr:row>
      <xdr:rowOff>23812</xdr:rowOff>
    </xdr:from>
    <xdr:ext cx="1479688" cy="1179941"/>
    <xdr:pic>
      <xdr:nvPicPr>
        <xdr:cNvPr id="35" name="図 37">
          <a:extLst>
            <a:ext uri="{FF2B5EF4-FFF2-40B4-BE49-F238E27FC236}">
              <a16:creationId xmlns:a16="http://schemas.microsoft.com/office/drawing/2014/main" id="{C92C2ED9-4382-6740-9F43-B8786E6B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35700" y="4291012"/>
          <a:ext cx="1479688" cy="1179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71</xdr:col>
      <xdr:colOff>5</xdr:colOff>
      <xdr:row>18</xdr:row>
      <xdr:rowOff>297657</xdr:rowOff>
    </xdr:from>
    <xdr:ext cx="1479688" cy="1187879"/>
    <xdr:pic>
      <xdr:nvPicPr>
        <xdr:cNvPr id="36" name="図 38">
          <a:extLst>
            <a:ext uri="{FF2B5EF4-FFF2-40B4-BE49-F238E27FC236}">
              <a16:creationId xmlns:a16="http://schemas.microsoft.com/office/drawing/2014/main" id="{8FBE16C0-43A1-FB40-8B52-3E264096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35705" y="3383757"/>
          <a:ext cx="1479688" cy="1187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115</xdr:col>
      <xdr:colOff>1</xdr:colOff>
      <xdr:row>4</xdr:row>
      <xdr:rowOff>0</xdr:rowOff>
    </xdr:from>
    <xdr:ext cx="1905000" cy="54091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テキスト ボックス 39">
              <a:extLst>
                <a:ext uri="{FF2B5EF4-FFF2-40B4-BE49-F238E27FC236}">
                  <a16:creationId xmlns:a16="http://schemas.microsoft.com/office/drawing/2014/main" id="{3F8E9F92-2AE6-7B42-AE25-195884EAA16E}"/>
                </a:ext>
              </a:extLst>
            </xdr:cNvPr>
            <xdr:cNvSpPr txBox="1"/>
          </xdr:nvSpPr>
          <xdr:spPr>
            <a:xfrm>
              <a:off x="30670501" y="711200"/>
              <a:ext cx="1905000" cy="5409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𝐵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|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kumimoji="1" lang="en-US" altLang="ja-JP" sz="14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kumimoji="1" lang="en-US" altLang="ja-JP" sz="1400" b="0" i="0">
                                <a:solidFill>
                                  <a:srgbClr val="00B050"/>
                                </a:solidFill>
                                <a:latin typeface="Cambria Math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ctrlPr>
                                  <a:rPr kumimoji="1" lang="en-US" altLang="ja-JP" sz="1400" b="0" i="1">
                                    <a:solidFill>
                                      <a:srgbClr val="00B05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400" b="0" i="1">
                                    <a:solidFill>
                                      <a:srgbClr val="00B050"/>
                                    </a:solidFill>
                                    <a:latin typeface="Cambria Math"/>
                                  </a:rPr>
                                  <m:t>𝐴</m:t>
                                </m:r>
                                <m:r>
                                  <a:rPr kumimoji="1" lang="en-US" altLang="ja-JP" sz="1400" b="0" i="1">
                                    <a:solidFill>
                                      <a:srgbClr val="00B050"/>
                                    </a:solidFill>
                                    <a:latin typeface="Cambria Math"/>
                                    <a:ea typeface="Cambria Math"/>
                                  </a:rPr>
                                  <m:t>∩</m:t>
                                </m:r>
                                <m:r>
                                  <a:rPr kumimoji="1" lang="en-US" altLang="ja-JP" sz="1400" b="0" i="1">
                                    <a:solidFill>
                                      <a:srgbClr val="00B050"/>
                                    </a:solidFill>
                                    <a:latin typeface="Cambria Math"/>
                                    <a:ea typeface="Cambria Math"/>
                                  </a:rPr>
                                  <m:t>𝐵</m:t>
                                </m:r>
                              </m:e>
                            </m:d>
                          </m:e>
                        </m:func>
                      </m:num>
                      <m:den>
                        <m:func>
                          <m:funcPr>
                            <m:ctrlPr>
                              <a:rPr kumimoji="1" lang="en-US" altLang="ja-JP" sz="1400" b="0" i="1">
                                <a:solidFill>
                                  <a:srgbClr val="0070C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kumimoji="1" lang="en-US" altLang="ja-JP" sz="1400" b="0" i="0">
                                <a:solidFill>
                                  <a:srgbClr val="0070C0"/>
                                </a:solidFill>
                                <a:latin typeface="Cambria Math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ctrlPr>
                                  <a:rPr kumimoji="1" lang="en-US" altLang="ja-JP" sz="1400" b="0" i="1">
                                    <a:solidFill>
                                      <a:srgbClr val="0070C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400" b="0" i="1">
                                    <a:solidFill>
                                      <a:srgbClr val="0070C0"/>
                                    </a:solidFill>
                                    <a:latin typeface="Cambria Math"/>
                                  </a:rPr>
                                  <m:t>𝐴</m:t>
                                </m:r>
                              </m:e>
                            </m:d>
                          </m:e>
                        </m:func>
                      </m:den>
                    </m:f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37" name="テキスト ボックス 39">
              <a:extLst>
                <a:ext uri="{FF2B5EF4-FFF2-40B4-BE49-F238E27FC236}">
                  <a16:creationId xmlns:a16="http://schemas.microsoft.com/office/drawing/2014/main" id="{3F8E9F92-2AE6-7B42-AE25-195884EAA16E}"/>
                </a:ext>
              </a:extLst>
            </xdr:cNvPr>
            <xdr:cNvSpPr txBox="1"/>
          </xdr:nvSpPr>
          <xdr:spPr>
            <a:xfrm>
              <a:off x="30670501" y="711200"/>
              <a:ext cx="1905000" cy="5409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𝐵|𝐴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=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/>
                </a:rPr>
                <a:t>𝐴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/>
                  <a:ea typeface="Cambria Math"/>
                </a:rPr>
                <a:t>∩𝐵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 panose="02040503050406030204" pitchFamily="18" charset="0"/>
                  <a:ea typeface="Cambria Math"/>
                </a:rPr>
                <a:t>)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  <a:ea typeface="Cambria Math"/>
                </a:rPr>
                <a:t>/</a:t>
              </a:r>
              <a:r>
                <a:rPr kumimoji="1" lang="en-US" altLang="ja-JP" sz="1400" b="0" i="0">
                  <a:solidFill>
                    <a:srgbClr val="0070C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0070C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0070C0"/>
                  </a:solidFill>
                  <a:latin typeface="Cambria Math"/>
                </a:rPr>
                <a:t>𝐴</a:t>
              </a:r>
              <a:r>
                <a:rPr kumimoji="1" lang="en-US" altLang="ja-JP" sz="1400" b="0" i="0">
                  <a:solidFill>
                    <a:srgbClr val="0070C0"/>
                  </a:solidFill>
                  <a:latin typeface="Cambria Math" panose="02040503050406030204" pitchFamily="18" charset="0"/>
                </a:rPr>
                <a:t>) 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116</xdr:col>
      <xdr:colOff>0</xdr:colOff>
      <xdr:row>8</xdr:row>
      <xdr:rowOff>0</xdr:rowOff>
    </xdr:from>
    <xdr:ext cx="1273969" cy="31149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テキスト ボックス 40">
              <a:extLst>
                <a:ext uri="{FF2B5EF4-FFF2-40B4-BE49-F238E27FC236}">
                  <a16:creationId xmlns:a16="http://schemas.microsoft.com/office/drawing/2014/main" id="{2A843D9E-9662-1442-9104-9FB5193CFD1F}"/>
                </a:ext>
              </a:extLst>
            </xdr:cNvPr>
            <xdr:cNvSpPr txBox="1"/>
          </xdr:nvSpPr>
          <xdr:spPr>
            <a:xfrm>
              <a:off x="30937200" y="1422400"/>
              <a:ext cx="1273969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∩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38" name="テキスト ボックス 40">
              <a:extLst>
                <a:ext uri="{FF2B5EF4-FFF2-40B4-BE49-F238E27FC236}">
                  <a16:creationId xmlns:a16="http://schemas.microsoft.com/office/drawing/2014/main" id="{2A843D9E-9662-1442-9104-9FB5193CFD1F}"/>
                </a:ext>
              </a:extLst>
            </xdr:cNvPr>
            <xdr:cNvSpPr txBox="1"/>
          </xdr:nvSpPr>
          <xdr:spPr>
            <a:xfrm>
              <a:off x="30937200" y="1422400"/>
              <a:ext cx="1273969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𝐴∩𝐵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114</xdr:col>
      <xdr:colOff>0</xdr:colOff>
      <xdr:row>10</xdr:row>
      <xdr:rowOff>0</xdr:rowOff>
    </xdr:from>
    <xdr:ext cx="1905000" cy="54091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9" name="テキスト ボックス 41">
              <a:extLst>
                <a:ext uri="{FF2B5EF4-FFF2-40B4-BE49-F238E27FC236}">
                  <a16:creationId xmlns:a16="http://schemas.microsoft.com/office/drawing/2014/main" id="{99D7EB07-08A5-FD4D-9732-2AEC5912FC85}"/>
                </a:ext>
              </a:extLst>
            </xdr:cNvPr>
            <xdr:cNvSpPr txBox="1"/>
          </xdr:nvSpPr>
          <xdr:spPr>
            <a:xfrm>
              <a:off x="30403800" y="1778000"/>
              <a:ext cx="1905000" cy="5409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𝐵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|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kumimoji="1" lang="en-US" altLang="ja-JP" sz="1400" b="0" i="0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ctrlP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/>
                                  </a:rPr>
                                  <m:t>𝐴</m:t>
                                </m:r>
                                <m: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/>
                                    <a:ea typeface="Cambria Math"/>
                                  </a:rPr>
                                  <m:t>∩</m:t>
                                </m:r>
                                <m: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/>
                                    <a:ea typeface="Cambria Math"/>
                                  </a:rPr>
                                  <m:t>𝐵</m:t>
                                </m:r>
                              </m:e>
                            </m:d>
                          </m:e>
                        </m:func>
                      </m:num>
                      <m:den>
                        <m:func>
                          <m:func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kumimoji="1" lang="en-US" altLang="ja-JP" sz="1400" b="0" i="0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ctrlP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/>
                                  </a:rPr>
                                  <m:t>𝐴</m:t>
                                </m:r>
                              </m:e>
                            </m:d>
                          </m:e>
                        </m:func>
                      </m:den>
                    </m:f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39" name="テキスト ボックス 41">
              <a:extLst>
                <a:ext uri="{FF2B5EF4-FFF2-40B4-BE49-F238E27FC236}">
                  <a16:creationId xmlns:a16="http://schemas.microsoft.com/office/drawing/2014/main" id="{99D7EB07-08A5-FD4D-9732-2AEC5912FC85}"/>
                </a:ext>
              </a:extLst>
            </xdr:cNvPr>
            <xdr:cNvSpPr txBox="1"/>
          </xdr:nvSpPr>
          <xdr:spPr>
            <a:xfrm>
              <a:off x="30403800" y="1778000"/>
              <a:ext cx="1905000" cy="5409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𝐵|𝐴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=Pr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  <a:ea typeface="Cambria Math"/>
                </a:rPr>
                <a:t>∩𝐵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  <a:ea typeface="Cambria Math"/>
                </a:rPr>
                <a:t>)/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 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108</xdr:col>
      <xdr:colOff>0</xdr:colOff>
      <xdr:row>12</xdr:row>
      <xdr:rowOff>0</xdr:rowOff>
    </xdr:from>
    <xdr:ext cx="2643188" cy="31149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テキスト ボックス 42">
              <a:extLst>
                <a:ext uri="{FF2B5EF4-FFF2-40B4-BE49-F238E27FC236}">
                  <a16:creationId xmlns:a16="http://schemas.microsoft.com/office/drawing/2014/main" id="{41019CDD-AB68-004F-B777-D0E6650517C8}"/>
                </a:ext>
              </a:extLst>
            </xdr:cNvPr>
            <xdr:cNvSpPr txBox="1"/>
          </xdr:nvSpPr>
          <xdr:spPr>
            <a:xfrm>
              <a:off x="28803600" y="2133600"/>
              <a:ext cx="2643188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𝐵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|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∩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40" name="テキスト ボックス 42">
              <a:extLst>
                <a:ext uri="{FF2B5EF4-FFF2-40B4-BE49-F238E27FC236}">
                  <a16:creationId xmlns:a16="http://schemas.microsoft.com/office/drawing/2014/main" id="{41019CDD-AB68-004F-B777-D0E6650517C8}"/>
                </a:ext>
              </a:extLst>
            </xdr:cNvPr>
            <xdr:cNvSpPr txBox="1"/>
          </xdr:nvSpPr>
          <xdr:spPr>
            <a:xfrm>
              <a:off x="28803600" y="2133600"/>
              <a:ext cx="2643188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𝐵|𝐴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 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 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=Pr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𝐴∩𝐵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108</xdr:col>
      <xdr:colOff>0</xdr:colOff>
      <xdr:row>17</xdr:row>
      <xdr:rowOff>0</xdr:rowOff>
    </xdr:from>
    <xdr:ext cx="3714751" cy="532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テキスト ボックス 43">
              <a:extLst>
                <a:ext uri="{FF2B5EF4-FFF2-40B4-BE49-F238E27FC236}">
                  <a16:creationId xmlns:a16="http://schemas.microsoft.com/office/drawing/2014/main" id="{44EDA757-B238-E34D-8442-280CD69846B3}"/>
                </a:ext>
              </a:extLst>
            </xdr:cNvPr>
            <xdr:cNvSpPr txBox="1"/>
          </xdr:nvSpPr>
          <xdr:spPr>
            <a:xfrm>
              <a:off x="28803600" y="3022600"/>
              <a:ext cx="3714751" cy="532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400" b="0" i="1">
                            <a:solidFill>
                              <a:schemeClr val="tx2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chemeClr val="tx2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chemeClr val="tx2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chemeClr val="tx2"/>
                                </a:solidFill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400" b="0" i="1">
                                <a:solidFill>
                                  <a:schemeClr val="tx2"/>
                                </a:solidFill>
                                <a:latin typeface="Cambria Math"/>
                              </a:rPr>
                              <m:t>∩</m:t>
                            </m:r>
                            <m:r>
                              <a:rPr kumimoji="1" lang="en-US" altLang="ja-JP" sz="1400" b="0" i="1">
                                <a:solidFill>
                                  <a:schemeClr val="tx2"/>
                                </a:solidFill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solidFill>
                          <a:srgbClr val="FF0000"/>
                        </a:solidFill>
                        <a:latin typeface="Cambria Math"/>
                      </a:rPr>
                      <m:t>+</m:t>
                    </m:r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00B05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00B05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400" b="0" i="1">
                                    <a:solidFill>
                                      <a:srgbClr val="00B05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400" b="0" i="1">
                                    <a:solidFill>
                                      <a:srgbClr val="00B050"/>
                                    </a:solidFill>
                                    <a:latin typeface="Cambria Math"/>
                                  </a:rPr>
                                  <m:t>𝐴</m:t>
                                </m:r>
                              </m:e>
                            </m:acc>
                            <m:r>
                              <a:rPr kumimoji="1" lang="en-US" altLang="ja-JP" sz="1400" b="0" i="1">
                                <a:solidFill>
                                  <a:srgbClr val="00B050"/>
                                </a:solidFill>
                                <a:latin typeface="Cambria Math"/>
                              </a:rPr>
                              <m:t>∩</m:t>
                            </m:r>
                            <m:r>
                              <a:rPr kumimoji="1" lang="en-US" altLang="ja-JP" sz="1400" b="0" i="1">
                                <a:solidFill>
                                  <a:srgbClr val="00B050"/>
                                </a:solidFill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𝐵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|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solidFill>
                          <a:srgbClr val="FF0000"/>
                        </a:solidFill>
                        <a:latin typeface="Cambria Math"/>
                      </a:rPr>
                      <m:t>+</m:t>
                    </m:r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𝐵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|</m:t>
                            </m:r>
                            <m:acc>
                              <m:accPr>
                                <m:chr m:val="̅"/>
                                <m:ctrlP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/>
                                  </a:rPr>
                                  <m:t>𝐴</m:t>
                                </m:r>
                              </m:e>
                            </m:acc>
                          </m:e>
                        </m:d>
                      </m:e>
                    </m:func>
                    <m:func>
                      <m:funcPr>
                        <m:ctrlPr>
                          <a:rPr kumimoji="1" lang="en-US" altLang="ja-JP" sz="14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kumimoji="1" lang="en-US" altLang="ja-JP" sz="1400" b="0" i="1">
                                    <a:solidFill>
                                      <a:srgbClr val="FF0000"/>
                                    </a:solidFill>
                                    <a:latin typeface="Cambria Math"/>
                                  </a:rPr>
                                  <m:t>𝐴</m:t>
                                </m:r>
                              </m:e>
                            </m:acc>
                          </m:e>
                        </m:d>
                      </m:e>
                    </m:func>
                  </m:oMath>
                </m:oMathPara>
              </a14:m>
              <a:endParaRPr kumimoji="1" lang="en-US" altLang="ja-JP" sz="1400" b="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41" name="テキスト ボックス 43">
              <a:extLst>
                <a:ext uri="{FF2B5EF4-FFF2-40B4-BE49-F238E27FC236}">
                  <a16:creationId xmlns:a16="http://schemas.microsoft.com/office/drawing/2014/main" id="{44EDA757-B238-E34D-8442-280CD69846B3}"/>
                </a:ext>
              </a:extLst>
            </xdr:cNvPr>
            <xdr:cNvSpPr txBox="1"/>
          </xdr:nvSpPr>
          <xdr:spPr>
            <a:xfrm>
              <a:off x="28803600" y="3022600"/>
              <a:ext cx="3714751" cy="532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𝐵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=</a:t>
              </a:r>
              <a:r>
                <a:rPr kumimoji="1" lang="en-US" altLang="ja-JP" sz="1400" b="0" i="0">
                  <a:solidFill>
                    <a:schemeClr val="tx2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chemeClr val="tx2"/>
                  </a:solidFill>
                  <a:latin typeface="Cambria Math"/>
                </a:rPr>
                <a:t>𝐴∩𝐵</a:t>
              </a:r>
              <a:r>
                <a:rPr kumimoji="1" lang="en-US" altLang="ja-JP" sz="1400" b="0" i="0">
                  <a:solidFill>
                    <a:schemeClr val="tx2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+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/>
                </a:rPr>
                <a:t>𝐴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 ̅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/>
                </a:rPr>
                <a:t>∩𝐵</a:t>
              </a:r>
              <a:r>
                <a:rPr kumimoji="1" lang="en-US" altLang="ja-JP" sz="14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=Pr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𝐵|𝐴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 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 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+Pr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𝐵|𝐴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 ̅ ) 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 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𝐴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 ̅ )</a:t>
              </a:r>
              <a:endParaRPr kumimoji="1" lang="en-US" altLang="ja-JP" sz="1400" b="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111</xdr:col>
      <xdr:colOff>0</xdr:colOff>
      <xdr:row>19</xdr:row>
      <xdr:rowOff>0</xdr:rowOff>
    </xdr:from>
    <xdr:ext cx="1479688" cy="1179942"/>
    <xdr:pic>
      <xdr:nvPicPr>
        <xdr:cNvPr id="42" name="図 44">
          <a:extLst>
            <a:ext uri="{FF2B5EF4-FFF2-40B4-BE49-F238E27FC236}">
              <a16:creationId xmlns:a16="http://schemas.microsoft.com/office/drawing/2014/main" id="{3E38A8F4-33C6-8B42-A9F5-C75D9420B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03700" y="3378200"/>
          <a:ext cx="1479688" cy="1179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118</xdr:col>
      <xdr:colOff>0</xdr:colOff>
      <xdr:row>19</xdr:row>
      <xdr:rowOff>0</xdr:rowOff>
    </xdr:from>
    <xdr:ext cx="1479687" cy="1179942"/>
    <xdr:pic>
      <xdr:nvPicPr>
        <xdr:cNvPr id="43" name="図 45">
          <a:extLst>
            <a:ext uri="{FF2B5EF4-FFF2-40B4-BE49-F238E27FC236}">
              <a16:creationId xmlns:a16="http://schemas.microsoft.com/office/drawing/2014/main" id="{664C396D-D269-2A40-AFEB-F28AA2F8D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70600" y="3378200"/>
          <a:ext cx="1479687" cy="1179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122</xdr:col>
      <xdr:colOff>0</xdr:colOff>
      <xdr:row>5</xdr:row>
      <xdr:rowOff>0</xdr:rowOff>
    </xdr:from>
    <xdr:ext cx="1479687" cy="1179942"/>
    <xdr:pic>
      <xdr:nvPicPr>
        <xdr:cNvPr id="44" name="図 46">
          <a:extLst>
            <a:ext uri="{FF2B5EF4-FFF2-40B4-BE49-F238E27FC236}">
              <a16:creationId xmlns:a16="http://schemas.microsoft.com/office/drawing/2014/main" id="{9F881BAB-F83B-AA47-854F-93737A3CA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37400" y="889000"/>
          <a:ext cx="1479687" cy="1179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110</xdr:col>
      <xdr:colOff>0</xdr:colOff>
      <xdr:row>27</xdr:row>
      <xdr:rowOff>0</xdr:rowOff>
    </xdr:from>
    <xdr:ext cx="1743075" cy="31149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5" name="テキスト ボックス 48">
              <a:extLst>
                <a:ext uri="{FF2B5EF4-FFF2-40B4-BE49-F238E27FC236}">
                  <a16:creationId xmlns:a16="http://schemas.microsoft.com/office/drawing/2014/main" id="{F1D30061-9E98-8648-944C-E988AB788269}"/>
                </a:ext>
              </a:extLst>
            </xdr:cNvPr>
            <xdr:cNvSpPr txBox="1"/>
          </xdr:nvSpPr>
          <xdr:spPr>
            <a:xfrm>
              <a:off x="29337000" y="4800600"/>
              <a:ext cx="1743075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𝐵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|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45" name="テキスト ボックス 48">
              <a:extLst>
                <a:ext uri="{FF2B5EF4-FFF2-40B4-BE49-F238E27FC236}">
                  <a16:creationId xmlns:a16="http://schemas.microsoft.com/office/drawing/2014/main" id="{F1D30061-9E98-8648-944C-E988AB788269}"/>
                </a:ext>
              </a:extLst>
            </xdr:cNvPr>
            <xdr:cNvSpPr txBox="1"/>
          </xdr:nvSpPr>
          <xdr:spPr>
            <a:xfrm>
              <a:off x="29337000" y="4800600"/>
              <a:ext cx="1743075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𝐵|𝐴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latin typeface="Cambria Math"/>
                </a:rPr>
                <a:t>=Pr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𝐵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110</xdr:col>
      <xdr:colOff>0</xdr:colOff>
      <xdr:row>28</xdr:row>
      <xdr:rowOff>0</xdr:rowOff>
    </xdr:from>
    <xdr:ext cx="1743075" cy="31149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6" name="テキスト ボックス 49">
              <a:extLst>
                <a:ext uri="{FF2B5EF4-FFF2-40B4-BE49-F238E27FC236}">
                  <a16:creationId xmlns:a16="http://schemas.microsoft.com/office/drawing/2014/main" id="{6B101610-D3EB-C945-A8EB-D409B708F0B9}"/>
                </a:ext>
              </a:extLst>
            </xdr:cNvPr>
            <xdr:cNvSpPr txBox="1"/>
          </xdr:nvSpPr>
          <xdr:spPr>
            <a:xfrm>
              <a:off x="29337000" y="4978400"/>
              <a:ext cx="1743075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|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46" name="テキスト ボックス 49">
              <a:extLst>
                <a:ext uri="{FF2B5EF4-FFF2-40B4-BE49-F238E27FC236}">
                  <a16:creationId xmlns:a16="http://schemas.microsoft.com/office/drawing/2014/main" id="{6B101610-D3EB-C945-A8EB-D409B708F0B9}"/>
                </a:ext>
              </a:extLst>
            </xdr:cNvPr>
            <xdr:cNvSpPr txBox="1"/>
          </xdr:nvSpPr>
          <xdr:spPr>
            <a:xfrm>
              <a:off x="29337000" y="4978400"/>
              <a:ext cx="1743075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𝐴|𝐵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latin typeface="Cambria Math"/>
                </a:rPr>
                <a:t>=Pr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𝐴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110</xdr:col>
      <xdr:colOff>0</xdr:colOff>
      <xdr:row>30</xdr:row>
      <xdr:rowOff>0</xdr:rowOff>
    </xdr:from>
    <xdr:ext cx="2309813" cy="31149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7" name="テキスト ボックス 50">
              <a:extLst>
                <a:ext uri="{FF2B5EF4-FFF2-40B4-BE49-F238E27FC236}">
                  <a16:creationId xmlns:a16="http://schemas.microsoft.com/office/drawing/2014/main" id="{A13E82EB-D52E-3F47-84FF-D5B36BF14805}"/>
                </a:ext>
              </a:extLst>
            </xdr:cNvPr>
            <xdr:cNvSpPr txBox="1"/>
          </xdr:nvSpPr>
          <xdr:spPr>
            <a:xfrm>
              <a:off x="29337000" y="5334000"/>
              <a:ext cx="2309813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∩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47" name="テキスト ボックス 50">
              <a:extLst>
                <a:ext uri="{FF2B5EF4-FFF2-40B4-BE49-F238E27FC236}">
                  <a16:creationId xmlns:a16="http://schemas.microsoft.com/office/drawing/2014/main" id="{A13E82EB-D52E-3F47-84FF-D5B36BF14805}"/>
                </a:ext>
              </a:extLst>
            </xdr:cNvPr>
            <xdr:cNvSpPr txBox="1"/>
          </xdr:nvSpPr>
          <xdr:spPr>
            <a:xfrm>
              <a:off x="29337000" y="5334000"/>
              <a:ext cx="2309813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𝐴∩𝐵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latin typeface="Cambria Math"/>
                </a:rPr>
                <a:t>=Pr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𝐴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 </a:t>
              </a:r>
              <a:r>
                <a:rPr kumimoji="1" lang="en-US" altLang="ja-JP" sz="1400" b="0" i="0">
                  <a:latin typeface="Cambria Math"/>
                </a:rPr>
                <a:t> 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𝐵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111</xdr:col>
      <xdr:colOff>0</xdr:colOff>
      <xdr:row>31</xdr:row>
      <xdr:rowOff>0</xdr:rowOff>
    </xdr:from>
    <xdr:ext cx="2643188" cy="31149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8" name="テキスト ボックス 51">
              <a:extLst>
                <a:ext uri="{FF2B5EF4-FFF2-40B4-BE49-F238E27FC236}">
                  <a16:creationId xmlns:a16="http://schemas.microsoft.com/office/drawing/2014/main" id="{D4B5517D-4552-694C-9920-79C5D99D857C}"/>
                </a:ext>
              </a:extLst>
            </xdr:cNvPr>
            <xdr:cNvSpPr txBox="1"/>
          </xdr:nvSpPr>
          <xdr:spPr>
            <a:xfrm>
              <a:off x="29603700" y="5511800"/>
              <a:ext cx="2643188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ysClr val="windowText" lastClr="00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/>
                              </a:rPr>
                              <m:t>𝐵</m:t>
                            </m:r>
                            <m: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/>
                              </a:rPr>
                              <m:t>|</m:t>
                            </m:r>
                            <m: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func>
                      <m:funcPr>
                        <m:ctrlPr>
                          <a:rPr kumimoji="1" lang="en-US" altLang="ja-JP" sz="14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ysClr val="windowText" lastClr="00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solidFill>
                          <a:sysClr val="windowText" lastClr="000000"/>
                        </a:solidFill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4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ysClr val="windowText" lastClr="00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/>
                              </a:rPr>
                              <m:t>∩</m:t>
                            </m:r>
                            <m:r>
                              <a:rPr kumimoji="1" lang="en-US" altLang="ja-JP" sz="1400" b="0" i="1">
                                <a:solidFill>
                                  <a:sysClr val="windowText" lastClr="000000"/>
                                </a:solidFill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ysClr val="windowText" lastClr="000000"/>
                </a:solidFill>
              </a:endParaRPr>
            </a:p>
          </xdr:txBody>
        </xdr:sp>
      </mc:Choice>
      <mc:Fallback>
        <xdr:sp macro="" textlink="">
          <xdr:nvSpPr>
            <xdr:cNvPr id="48" name="テキスト ボックス 51">
              <a:extLst>
                <a:ext uri="{FF2B5EF4-FFF2-40B4-BE49-F238E27FC236}">
                  <a16:creationId xmlns:a16="http://schemas.microsoft.com/office/drawing/2014/main" id="{D4B5517D-4552-694C-9920-79C5D99D857C}"/>
                </a:ext>
              </a:extLst>
            </xdr:cNvPr>
            <xdr:cNvSpPr txBox="1"/>
          </xdr:nvSpPr>
          <xdr:spPr>
            <a:xfrm>
              <a:off x="29603700" y="5511800"/>
              <a:ext cx="2643188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/>
                </a:rPr>
                <a:t>𝐵|𝐴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) 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/>
                </a:rPr>
                <a:t> Pr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/>
                </a:rPr>
                <a:t>𝐴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/>
                </a:rPr>
                <a:t>=Pr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/>
                </a:rPr>
                <a:t>𝐴∩𝐵</a:t>
              </a:r>
              <a:r>
                <a:rPr kumimoji="1" lang="en-US" altLang="ja-JP" sz="14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)</a:t>
              </a:r>
              <a:endParaRPr kumimoji="1" lang="ja-JP" altLang="en-US" sz="14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111</xdr:col>
      <xdr:colOff>0</xdr:colOff>
      <xdr:row>32</xdr:row>
      <xdr:rowOff>0</xdr:rowOff>
    </xdr:from>
    <xdr:ext cx="1743075" cy="31149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9" name="テキスト ボックス 52">
              <a:extLst>
                <a:ext uri="{FF2B5EF4-FFF2-40B4-BE49-F238E27FC236}">
                  <a16:creationId xmlns:a16="http://schemas.microsoft.com/office/drawing/2014/main" id="{5680CB4D-9151-FC4B-8451-85434F1065FD}"/>
                </a:ext>
              </a:extLst>
            </xdr:cNvPr>
            <xdr:cNvSpPr txBox="1"/>
          </xdr:nvSpPr>
          <xdr:spPr>
            <a:xfrm>
              <a:off x="29603700" y="5689600"/>
              <a:ext cx="1743075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𝐵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|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400" b="0" i="1"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49" name="テキスト ボックス 52">
              <a:extLst>
                <a:ext uri="{FF2B5EF4-FFF2-40B4-BE49-F238E27FC236}">
                  <a16:creationId xmlns:a16="http://schemas.microsoft.com/office/drawing/2014/main" id="{5680CB4D-9151-FC4B-8451-85434F1065FD}"/>
                </a:ext>
              </a:extLst>
            </xdr:cNvPr>
            <xdr:cNvSpPr txBox="1"/>
          </xdr:nvSpPr>
          <xdr:spPr>
            <a:xfrm>
              <a:off x="29603700" y="5689600"/>
              <a:ext cx="1743075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𝐵|𝐴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400" b="0" i="0">
                  <a:latin typeface="Cambria Math"/>
                </a:rPr>
                <a:t>=Pr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𝐵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240</xdr:col>
      <xdr:colOff>0</xdr:colOff>
      <xdr:row>8</xdr:row>
      <xdr:rowOff>0</xdr:rowOff>
    </xdr:from>
    <xdr:ext cx="2457451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0" name="テキスト ボックス 58">
              <a:extLst>
                <a:ext uri="{FF2B5EF4-FFF2-40B4-BE49-F238E27FC236}">
                  <a16:creationId xmlns:a16="http://schemas.microsoft.com/office/drawing/2014/main" id="{464EA41F-6C44-2F42-B30B-FB0C07D2FD03}"/>
                </a:ext>
              </a:extLst>
            </xdr:cNvPr>
            <xdr:cNvSpPr txBox="1"/>
          </xdr:nvSpPr>
          <xdr:spPr>
            <a:xfrm>
              <a:off x="64008000" y="1422400"/>
              <a:ext cx="2457451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𝐴</m:t>
                            </m:r>
                            <m:r>
                              <a:rPr kumimoji="1" lang="en-US" altLang="ja-JP" sz="1100" b="0" i="1">
                                <a:latin typeface="Cambria Math"/>
                                <a:ea typeface="Cambria Math"/>
                              </a:rPr>
                              <m:t>∪</m:t>
                            </m:r>
                            <m:r>
                              <a:rPr kumimoji="1" lang="en-US" altLang="ja-JP" sz="1100" b="0" i="1">
                                <a:latin typeface="Cambria Math"/>
                                <a:ea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  <m:r>
                      <a:rPr kumimoji="1" lang="en-US" altLang="ja-JP" sz="1100" b="0" i="1">
                        <a:latin typeface="Cambria Math"/>
                      </a:rPr>
                      <m:t>=</m:t>
                    </m:r>
                    <m:func>
                      <m:func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𝐴</m:t>
                            </m:r>
                          </m:e>
                        </m:d>
                      </m:e>
                    </m:func>
                    <m:r>
                      <a:rPr kumimoji="1" lang="en-US" altLang="ja-JP" sz="1100" b="0" i="1">
                        <a:latin typeface="Cambria Math"/>
                      </a:rPr>
                      <m:t>+</m:t>
                    </m:r>
                    <m:func>
                      <m:func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𝐵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50" name="テキスト ボックス 58">
              <a:extLst>
                <a:ext uri="{FF2B5EF4-FFF2-40B4-BE49-F238E27FC236}">
                  <a16:creationId xmlns:a16="http://schemas.microsoft.com/office/drawing/2014/main" id="{464EA41F-6C44-2F42-B30B-FB0C07D2FD03}"/>
                </a:ext>
              </a:extLst>
            </xdr:cNvPr>
            <xdr:cNvSpPr txBox="1"/>
          </xdr:nvSpPr>
          <xdr:spPr>
            <a:xfrm>
              <a:off x="64008000" y="1422400"/>
              <a:ext cx="2457451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𝐴</a:t>
              </a:r>
              <a:r>
                <a:rPr kumimoji="1" lang="en-US" altLang="ja-JP" sz="1100" b="0" i="0">
                  <a:latin typeface="Cambria Math"/>
                  <a:ea typeface="Cambria Math"/>
                </a:rPr>
                <a:t>∪𝐵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=Pr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𝐴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latin typeface="Cambria Math"/>
                </a:rPr>
                <a:t>+Pr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𝐵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194</xdr:col>
      <xdr:colOff>0</xdr:colOff>
      <xdr:row>20</xdr:row>
      <xdr:rowOff>250033</xdr:rowOff>
    </xdr:from>
    <xdr:ext cx="3131344" cy="4092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1" name="テキスト ボックス 25">
              <a:extLst>
                <a:ext uri="{FF2B5EF4-FFF2-40B4-BE49-F238E27FC236}">
                  <a16:creationId xmlns:a16="http://schemas.microsoft.com/office/drawing/2014/main" id="{042EDBA7-FE4E-DC45-A74A-31225C56B298}"/>
                </a:ext>
              </a:extLst>
            </xdr:cNvPr>
            <xdr:cNvSpPr txBox="1"/>
          </xdr:nvSpPr>
          <xdr:spPr>
            <a:xfrm>
              <a:off x="51739800" y="3729833"/>
              <a:ext cx="3131344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050" b="0" i="1">
                        <a:solidFill>
                          <a:srgbClr val="FF0000"/>
                        </a:solidFill>
                        <a:latin typeface="Cambria Math"/>
                      </a:rPr>
                      <m:t>𝑋</m:t>
                    </m:r>
                    <m:d>
                      <m:d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3</m:t>
                        </m:r>
                      </m:e>
                    </m:d>
                    <m:r>
                      <a:rPr kumimoji="1" lang="en-US" altLang="ja-JP" sz="1050" b="0" i="1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2</m:t>
                        </m:r>
                      </m:den>
                    </m:f>
                    <m:r>
                      <a:rPr kumimoji="1" lang="en-US" altLang="ja-JP" sz="1050" b="0" i="0">
                        <a:solidFill>
                          <a:srgbClr val="FF0000"/>
                        </a:solidFill>
                        <a:latin typeface="Cambria Math"/>
                      </a:rPr>
                      <m:t>∗</m:t>
                    </m:r>
                    <m:f>
                      <m:f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2</m:t>
                        </m:r>
                      </m:den>
                    </m:f>
                    <m:r>
                      <a:rPr kumimoji="1" lang="en-US" altLang="ja-JP" sz="1050" b="0" i="0">
                        <a:solidFill>
                          <a:srgbClr val="FF0000"/>
                        </a:solidFill>
                        <a:latin typeface="Cambria Math"/>
                      </a:rPr>
                      <m:t>∗</m:t>
                    </m:r>
                    <m:f>
                      <m:f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2</m:t>
                        </m:r>
                      </m:den>
                    </m:f>
                    <m:r>
                      <a:rPr kumimoji="1" lang="en-US" altLang="ja-JP" sz="1050" b="0" i="0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8</m:t>
                        </m:r>
                      </m:den>
                    </m:f>
                    <m:r>
                      <a:rPr kumimoji="1" lang="en-US" altLang="ja-JP" sz="1050" b="0" i="0">
                        <a:solidFill>
                          <a:srgbClr val="FF0000"/>
                        </a:solidFill>
                        <a:latin typeface="Cambria Math"/>
                      </a:rPr>
                      <m:t>=0.125</m:t>
                    </m:r>
                  </m:oMath>
                </m:oMathPara>
              </a14:m>
              <a:endParaRPr kumimoji="1" lang="ja-JP" altLang="en-US" sz="105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51" name="テキスト ボックス 25">
              <a:extLst>
                <a:ext uri="{FF2B5EF4-FFF2-40B4-BE49-F238E27FC236}">
                  <a16:creationId xmlns:a16="http://schemas.microsoft.com/office/drawing/2014/main" id="{042EDBA7-FE4E-DC45-A74A-31225C56B298}"/>
                </a:ext>
              </a:extLst>
            </xdr:cNvPr>
            <xdr:cNvSpPr txBox="1"/>
          </xdr:nvSpPr>
          <xdr:spPr>
            <a:xfrm>
              <a:off x="51739800" y="3729833"/>
              <a:ext cx="3131344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𝑋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3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=1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2∗1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2∗1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2=1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8=0.125</a:t>
              </a:r>
              <a:endParaRPr kumimoji="1" lang="ja-JP" altLang="en-US" sz="105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194</xdr:col>
      <xdr:colOff>0</xdr:colOff>
      <xdr:row>27</xdr:row>
      <xdr:rowOff>250032</xdr:rowOff>
    </xdr:from>
    <xdr:ext cx="3131344" cy="40921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2" name="テキスト ボックス 26">
              <a:extLst>
                <a:ext uri="{FF2B5EF4-FFF2-40B4-BE49-F238E27FC236}">
                  <a16:creationId xmlns:a16="http://schemas.microsoft.com/office/drawing/2014/main" id="{091548BA-36C2-074D-8773-E5CD0D06D8EE}"/>
                </a:ext>
              </a:extLst>
            </xdr:cNvPr>
            <xdr:cNvSpPr txBox="1"/>
          </xdr:nvSpPr>
          <xdr:spPr>
            <a:xfrm>
              <a:off x="51739800" y="4974432"/>
              <a:ext cx="3131344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050" b="0" i="1">
                        <a:solidFill>
                          <a:srgbClr val="FF0000"/>
                        </a:solidFill>
                        <a:latin typeface="Cambria Math"/>
                      </a:rPr>
                      <m:t>𝑋</m:t>
                    </m:r>
                    <m:d>
                      <m:d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0</m:t>
                        </m:r>
                      </m:e>
                    </m:d>
                    <m:r>
                      <a:rPr kumimoji="1" lang="en-US" altLang="ja-JP" sz="1050" b="0" i="1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2</m:t>
                        </m:r>
                      </m:den>
                    </m:f>
                    <m:r>
                      <a:rPr kumimoji="1" lang="en-US" altLang="ja-JP" sz="1050" b="0" i="0">
                        <a:solidFill>
                          <a:srgbClr val="FF0000"/>
                        </a:solidFill>
                        <a:latin typeface="Cambria Math"/>
                      </a:rPr>
                      <m:t>∗</m:t>
                    </m:r>
                    <m:f>
                      <m:f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2</m:t>
                        </m:r>
                      </m:den>
                    </m:f>
                    <m:r>
                      <a:rPr kumimoji="1" lang="en-US" altLang="ja-JP" sz="1050" b="0" i="0">
                        <a:solidFill>
                          <a:srgbClr val="FF0000"/>
                        </a:solidFill>
                        <a:latin typeface="Cambria Math"/>
                      </a:rPr>
                      <m:t>∗</m:t>
                    </m:r>
                    <m:f>
                      <m:f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2</m:t>
                        </m:r>
                      </m:den>
                    </m:f>
                    <m:r>
                      <a:rPr kumimoji="1" lang="en-US" altLang="ja-JP" sz="1050" b="0" i="0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f>
                      <m:fPr>
                        <m:ctrlPr>
                          <a:rPr kumimoji="1" lang="en-US" altLang="ja-JP" sz="105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1</m:t>
                        </m:r>
                      </m:num>
                      <m:den>
                        <m:r>
                          <a:rPr kumimoji="1" lang="en-US" altLang="ja-JP" sz="105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8</m:t>
                        </m:r>
                      </m:den>
                    </m:f>
                    <m:r>
                      <a:rPr kumimoji="1" lang="en-US" altLang="ja-JP" sz="1050" b="0" i="0">
                        <a:solidFill>
                          <a:srgbClr val="FF0000"/>
                        </a:solidFill>
                        <a:latin typeface="Cambria Math"/>
                      </a:rPr>
                      <m:t>=0.125</m:t>
                    </m:r>
                  </m:oMath>
                </m:oMathPara>
              </a14:m>
              <a:endParaRPr kumimoji="1" lang="ja-JP" altLang="en-US" sz="105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52" name="テキスト ボックス 26">
              <a:extLst>
                <a:ext uri="{FF2B5EF4-FFF2-40B4-BE49-F238E27FC236}">
                  <a16:creationId xmlns:a16="http://schemas.microsoft.com/office/drawing/2014/main" id="{091548BA-36C2-074D-8773-E5CD0D06D8EE}"/>
                </a:ext>
              </a:extLst>
            </xdr:cNvPr>
            <xdr:cNvSpPr txBox="1"/>
          </xdr:nvSpPr>
          <xdr:spPr>
            <a:xfrm>
              <a:off x="51739800" y="4974432"/>
              <a:ext cx="3131344" cy="409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𝑋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0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=1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2∗1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2∗1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2=1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050" b="0" i="0">
                  <a:solidFill>
                    <a:srgbClr val="FF0000"/>
                  </a:solidFill>
                  <a:latin typeface="Cambria Math"/>
                </a:rPr>
                <a:t>8=0.125</a:t>
              </a:r>
              <a:endParaRPr kumimoji="1" lang="ja-JP" altLang="en-US" sz="105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194</xdr:col>
      <xdr:colOff>0</xdr:colOff>
      <xdr:row>22</xdr:row>
      <xdr:rowOff>238120</xdr:rowOff>
    </xdr:from>
    <xdr:ext cx="3131344" cy="5061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3" name="テキスト ボックス 47">
              <a:extLst>
                <a:ext uri="{FF2B5EF4-FFF2-40B4-BE49-F238E27FC236}">
                  <a16:creationId xmlns:a16="http://schemas.microsoft.com/office/drawing/2014/main" id="{60EA82C0-2377-1043-9366-4C84DBCF23F7}"/>
                </a:ext>
              </a:extLst>
            </xdr:cNvPr>
            <xdr:cNvSpPr txBox="1"/>
          </xdr:nvSpPr>
          <xdr:spPr>
            <a:xfrm>
              <a:off x="51739800" y="4086220"/>
              <a:ext cx="3131344" cy="506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solidFill>
                          <a:srgbClr val="FF0000"/>
                        </a:solidFill>
                        <a:latin typeface="Cambria Math"/>
                      </a:rPr>
                      <m:t>𝑋</m:t>
                    </m:r>
                    <m:d>
                      <m:dPr>
                        <m:ctrlP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2</m:t>
                        </m:r>
                      </m:e>
                    </m:d>
                    <m:r>
                      <a:rPr kumimoji="1" lang="en-US" altLang="ja-JP" sz="1100" b="0" i="1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r>
                      <a:rPr kumimoji="1" lang="en-US" altLang="ja-JP" sz="1100" b="0" i="0">
                        <a:solidFill>
                          <a:srgbClr val="FF0000"/>
                        </a:solidFill>
                        <a:latin typeface="Cambria Math"/>
                      </a:rPr>
                      <m:t>3∗</m:t>
                    </m:r>
                    <m:sSup>
                      <m:sSupPr>
                        <m:ctrlP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0">
                                    <a:solidFill>
                                      <a:srgbClr val="FF0000"/>
                                    </a:solidFill>
                                    <a:latin typeface="Cambria Math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rgbClr val="FF0000"/>
                                    </a:solidFill>
                                    <a:latin typeface="Cambria Math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3</m:t>
                        </m:r>
                      </m:sup>
                    </m:sSup>
                    <m:r>
                      <a:rPr kumimoji="1" lang="en-US" altLang="ja-JP" sz="1100" b="0" i="1">
                        <a:solidFill>
                          <a:srgbClr val="FF0000"/>
                        </a:solidFill>
                        <a:latin typeface="Cambria Math"/>
                      </a:rPr>
                      <m:t>=3∗0.125</m:t>
                    </m:r>
                    <m:r>
                      <a:rPr kumimoji="1" lang="en-US" altLang="ja-JP" sz="1100" b="0" i="0">
                        <a:solidFill>
                          <a:srgbClr val="FF0000"/>
                        </a:solidFill>
                        <a:latin typeface="Cambria Math"/>
                      </a:rPr>
                      <m:t>=0.375</m:t>
                    </m:r>
                  </m:oMath>
                </m:oMathPara>
              </a14:m>
              <a:endParaRPr kumimoji="1" lang="ja-JP" altLang="en-US" sz="11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53" name="テキスト ボックス 47">
              <a:extLst>
                <a:ext uri="{FF2B5EF4-FFF2-40B4-BE49-F238E27FC236}">
                  <a16:creationId xmlns:a16="http://schemas.microsoft.com/office/drawing/2014/main" id="{60EA82C0-2377-1043-9366-4C84DBCF23F7}"/>
                </a:ext>
              </a:extLst>
            </xdr:cNvPr>
            <xdr:cNvSpPr txBox="1"/>
          </xdr:nvSpPr>
          <xdr:spPr>
            <a:xfrm>
              <a:off x="51739800" y="4086220"/>
              <a:ext cx="3131344" cy="506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𝑋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2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=3∗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1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2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)^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3=3∗0.125=0.375</a:t>
              </a:r>
              <a:endParaRPr kumimoji="1" lang="ja-JP" altLang="en-US" sz="11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194</xdr:col>
      <xdr:colOff>0</xdr:colOff>
      <xdr:row>25</xdr:row>
      <xdr:rowOff>214308</xdr:rowOff>
    </xdr:from>
    <xdr:ext cx="3131344" cy="5061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4" name="テキスト ボックス 53">
              <a:extLst>
                <a:ext uri="{FF2B5EF4-FFF2-40B4-BE49-F238E27FC236}">
                  <a16:creationId xmlns:a16="http://schemas.microsoft.com/office/drawing/2014/main" id="{FBD2CDF8-161F-9740-A144-64DB297CEA14}"/>
                </a:ext>
              </a:extLst>
            </xdr:cNvPr>
            <xdr:cNvSpPr txBox="1"/>
          </xdr:nvSpPr>
          <xdr:spPr>
            <a:xfrm>
              <a:off x="51739800" y="4621208"/>
              <a:ext cx="3131344" cy="506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solidFill>
                          <a:srgbClr val="FF0000"/>
                        </a:solidFill>
                        <a:latin typeface="Cambria Math"/>
                      </a:rPr>
                      <m:t>𝑋</m:t>
                    </m:r>
                    <m:d>
                      <m:dPr>
                        <m:ctrlP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1</m:t>
                        </m:r>
                      </m:e>
                    </m:d>
                    <m:r>
                      <a:rPr kumimoji="1" lang="en-US" altLang="ja-JP" sz="1100" b="0" i="1">
                        <a:solidFill>
                          <a:srgbClr val="FF0000"/>
                        </a:solidFill>
                        <a:latin typeface="Cambria Math"/>
                      </a:rPr>
                      <m:t>=</m:t>
                    </m:r>
                    <m:r>
                      <a:rPr kumimoji="1" lang="en-US" altLang="ja-JP" sz="1100" b="0" i="0">
                        <a:solidFill>
                          <a:srgbClr val="FF0000"/>
                        </a:solidFill>
                        <a:latin typeface="Cambria Math"/>
                      </a:rPr>
                      <m:t>3∗</m:t>
                    </m:r>
                    <m:sSup>
                      <m:sSupPr>
                        <m:ctrlP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kumimoji="1" lang="en-US" altLang="ja-JP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kumimoji="1" lang="en-US" altLang="ja-JP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kumimoji="1" lang="en-US" altLang="ja-JP" sz="1100" b="0" i="0">
                                    <a:solidFill>
                                      <a:srgbClr val="FF0000"/>
                                    </a:solidFill>
                                    <a:latin typeface="Cambria Math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kumimoji="1" lang="en-US" altLang="ja-JP" sz="1100" b="0" i="1">
                                    <a:solidFill>
                                      <a:srgbClr val="FF0000"/>
                                    </a:solidFill>
                                    <a:latin typeface="Cambria Math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kumimoji="1" lang="en-US" altLang="ja-JP" sz="1100" b="0" i="1">
                            <a:solidFill>
                              <a:srgbClr val="FF0000"/>
                            </a:solidFill>
                            <a:latin typeface="Cambria Math"/>
                          </a:rPr>
                          <m:t>3</m:t>
                        </m:r>
                      </m:sup>
                    </m:sSup>
                    <m:r>
                      <a:rPr kumimoji="1" lang="en-US" altLang="ja-JP" sz="1100" b="0" i="1">
                        <a:solidFill>
                          <a:srgbClr val="FF0000"/>
                        </a:solidFill>
                        <a:latin typeface="Cambria Math"/>
                      </a:rPr>
                      <m:t>=3∗0.125</m:t>
                    </m:r>
                    <m:r>
                      <a:rPr kumimoji="1" lang="en-US" altLang="ja-JP" sz="1100" b="0" i="0">
                        <a:solidFill>
                          <a:srgbClr val="FF0000"/>
                        </a:solidFill>
                        <a:latin typeface="Cambria Math"/>
                      </a:rPr>
                      <m:t>=0.375</m:t>
                    </m:r>
                  </m:oMath>
                </m:oMathPara>
              </a14:m>
              <a:endParaRPr kumimoji="1" lang="ja-JP" altLang="en-US" sz="11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54" name="テキスト ボックス 53">
              <a:extLst>
                <a:ext uri="{FF2B5EF4-FFF2-40B4-BE49-F238E27FC236}">
                  <a16:creationId xmlns:a16="http://schemas.microsoft.com/office/drawing/2014/main" id="{FBD2CDF8-161F-9740-A144-64DB297CEA14}"/>
                </a:ext>
              </a:extLst>
            </xdr:cNvPr>
            <xdr:cNvSpPr txBox="1"/>
          </xdr:nvSpPr>
          <xdr:spPr>
            <a:xfrm>
              <a:off x="51739800" y="4621208"/>
              <a:ext cx="3131344" cy="5061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𝑋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1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=3∗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(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1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/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2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)^</a:t>
              </a:r>
              <a:r>
                <a:rPr kumimoji="1" lang="en-US" altLang="ja-JP" sz="1100" b="0" i="0">
                  <a:solidFill>
                    <a:srgbClr val="FF0000"/>
                  </a:solidFill>
                  <a:latin typeface="Cambria Math"/>
                </a:rPr>
                <a:t>3=3∗0.125=0.375</a:t>
              </a:r>
              <a:endParaRPr kumimoji="1" lang="ja-JP" altLang="en-US" sz="11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212</xdr:col>
      <xdr:colOff>130970</xdr:colOff>
      <xdr:row>6</xdr:row>
      <xdr:rowOff>273844</xdr:rowOff>
    </xdr:from>
    <xdr:ext cx="492919" cy="3427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5" name="テキスト ボックス 54">
              <a:extLst>
                <a:ext uri="{FF2B5EF4-FFF2-40B4-BE49-F238E27FC236}">
                  <a16:creationId xmlns:a16="http://schemas.microsoft.com/office/drawing/2014/main" id="{585B9FD6-ECF6-9940-A40E-A0DE7B0628DA}"/>
                </a:ext>
              </a:extLst>
            </xdr:cNvPr>
            <xdr:cNvSpPr txBox="1"/>
          </xdr:nvSpPr>
          <xdr:spPr>
            <a:xfrm>
              <a:off x="56671370" y="1239044"/>
              <a:ext cx="492919" cy="342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>
        <xdr:sp macro="" textlink="">
          <xdr:nvSpPr>
            <xdr:cNvPr id="55" name="テキスト ボックス 54">
              <a:extLst>
                <a:ext uri="{FF2B5EF4-FFF2-40B4-BE49-F238E27FC236}">
                  <a16:creationId xmlns:a16="http://schemas.microsoft.com/office/drawing/2014/main" id="{585B9FD6-ECF6-9940-A40E-A0DE7B0628DA}"/>
                </a:ext>
              </a:extLst>
            </xdr:cNvPr>
            <xdr:cNvSpPr txBox="1"/>
          </xdr:nvSpPr>
          <xdr:spPr>
            <a:xfrm>
              <a:off x="56671370" y="1239044"/>
              <a:ext cx="492919" cy="342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600" b="0" i="0">
                  <a:latin typeface="Cambria Math"/>
                </a:rPr>
                <a:t>𝑥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211</xdr:col>
      <xdr:colOff>221454</xdr:colOff>
      <xdr:row>9</xdr:row>
      <xdr:rowOff>1190</xdr:rowOff>
    </xdr:from>
    <xdr:ext cx="1112045" cy="31149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6" name="テキスト ボックス 55">
              <a:extLst>
                <a:ext uri="{FF2B5EF4-FFF2-40B4-BE49-F238E27FC236}">
                  <a16:creationId xmlns:a16="http://schemas.microsoft.com/office/drawing/2014/main" id="{3709D82C-0380-0C4E-ADC0-35AC6044AC3A}"/>
                </a:ext>
              </a:extLst>
            </xdr:cNvPr>
            <xdr:cNvSpPr txBox="1"/>
          </xdr:nvSpPr>
          <xdr:spPr>
            <a:xfrm>
              <a:off x="56495154" y="1601390"/>
              <a:ext cx="1112045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=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>
        <xdr:sp macro="" textlink="">
          <xdr:nvSpPr>
            <xdr:cNvPr id="56" name="テキスト ボックス 55">
              <a:extLst>
                <a:ext uri="{FF2B5EF4-FFF2-40B4-BE49-F238E27FC236}">
                  <a16:creationId xmlns:a16="http://schemas.microsoft.com/office/drawing/2014/main" id="{3709D82C-0380-0C4E-ADC0-35AC6044AC3A}"/>
                </a:ext>
              </a:extLst>
            </xdr:cNvPr>
            <xdr:cNvSpPr txBox="1"/>
          </xdr:nvSpPr>
          <xdr:spPr>
            <a:xfrm>
              <a:off x="56495154" y="1601390"/>
              <a:ext cx="1112045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𝑋=𝑥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222</xdr:col>
      <xdr:colOff>178596</xdr:colOff>
      <xdr:row>8</xdr:row>
      <xdr:rowOff>261939</xdr:rowOff>
    </xdr:from>
    <xdr:ext cx="492919" cy="3427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7" name="テキスト ボックス 56">
              <a:extLst>
                <a:ext uri="{FF2B5EF4-FFF2-40B4-BE49-F238E27FC236}">
                  <a16:creationId xmlns:a16="http://schemas.microsoft.com/office/drawing/2014/main" id="{056CEDF7-B6FE-E84F-8F5D-7016851AB8F3}"/>
                </a:ext>
              </a:extLst>
            </xdr:cNvPr>
            <xdr:cNvSpPr txBox="1"/>
          </xdr:nvSpPr>
          <xdr:spPr>
            <a:xfrm>
              <a:off x="59385996" y="1595439"/>
              <a:ext cx="492919" cy="342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>
        <xdr:sp macro="" textlink="">
          <xdr:nvSpPr>
            <xdr:cNvPr id="57" name="テキスト ボックス 56">
              <a:extLst>
                <a:ext uri="{FF2B5EF4-FFF2-40B4-BE49-F238E27FC236}">
                  <a16:creationId xmlns:a16="http://schemas.microsoft.com/office/drawing/2014/main" id="{056CEDF7-B6FE-E84F-8F5D-7016851AB8F3}"/>
                </a:ext>
              </a:extLst>
            </xdr:cNvPr>
            <xdr:cNvSpPr txBox="1"/>
          </xdr:nvSpPr>
          <xdr:spPr>
            <a:xfrm>
              <a:off x="59385996" y="1595439"/>
              <a:ext cx="492919" cy="342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600" b="0" i="0">
                  <a:latin typeface="Cambria Math"/>
                </a:rPr>
                <a:t>𝑥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219</xdr:col>
      <xdr:colOff>35718</xdr:colOff>
      <xdr:row>8</xdr:row>
      <xdr:rowOff>285751</xdr:rowOff>
    </xdr:from>
    <xdr:ext cx="492919" cy="3434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8" name="テキスト ボックス 57">
              <a:extLst>
                <a:ext uri="{FF2B5EF4-FFF2-40B4-BE49-F238E27FC236}">
                  <a16:creationId xmlns:a16="http://schemas.microsoft.com/office/drawing/2014/main" id="{9C0971F6-593A-AA41-BB66-651FB4AB019F}"/>
                </a:ext>
              </a:extLst>
            </xdr:cNvPr>
            <xdr:cNvSpPr txBox="1"/>
          </xdr:nvSpPr>
          <xdr:spPr>
            <a:xfrm>
              <a:off x="58443018" y="1593851"/>
              <a:ext cx="492919" cy="343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b="0" i="1">
                        <a:latin typeface="Cambria Math"/>
                      </a:rPr>
                      <m:t>𝑋</m:t>
                    </m:r>
                  </m:oMath>
                </m:oMathPara>
              </a14:m>
              <a:endParaRPr kumimoji="1" lang="ja-JP" altLang="en-US" sz="1600"/>
            </a:p>
          </xdr:txBody>
        </xdr:sp>
      </mc:Choice>
      <mc:Fallback>
        <xdr:sp macro="" textlink="">
          <xdr:nvSpPr>
            <xdr:cNvPr id="58" name="テキスト ボックス 57">
              <a:extLst>
                <a:ext uri="{FF2B5EF4-FFF2-40B4-BE49-F238E27FC236}">
                  <a16:creationId xmlns:a16="http://schemas.microsoft.com/office/drawing/2014/main" id="{9C0971F6-593A-AA41-BB66-651FB4AB019F}"/>
                </a:ext>
              </a:extLst>
            </xdr:cNvPr>
            <xdr:cNvSpPr txBox="1"/>
          </xdr:nvSpPr>
          <xdr:spPr>
            <a:xfrm>
              <a:off x="58443018" y="1593851"/>
              <a:ext cx="492919" cy="343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600" b="0" i="0">
                  <a:latin typeface="Cambria Math"/>
                </a:rPr>
                <a:t>𝑋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213</xdr:col>
      <xdr:colOff>35718</xdr:colOff>
      <xdr:row>10</xdr:row>
      <xdr:rowOff>285751</xdr:rowOff>
    </xdr:from>
    <xdr:ext cx="492919" cy="3434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9" name="テキスト ボックス 59">
              <a:extLst>
                <a:ext uri="{FF2B5EF4-FFF2-40B4-BE49-F238E27FC236}">
                  <a16:creationId xmlns:a16="http://schemas.microsoft.com/office/drawing/2014/main" id="{ED065631-F4B8-144C-8598-0DD50221F61B}"/>
                </a:ext>
              </a:extLst>
            </xdr:cNvPr>
            <xdr:cNvSpPr txBox="1"/>
          </xdr:nvSpPr>
          <xdr:spPr>
            <a:xfrm>
              <a:off x="56842818" y="1949451"/>
              <a:ext cx="492919" cy="343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600" b="0" i="1">
                        <a:solidFill>
                          <a:srgbClr val="FF0000"/>
                        </a:solidFill>
                        <a:latin typeface="Cambria Math"/>
                      </a:rPr>
                      <m:t>𝑋</m:t>
                    </m:r>
                  </m:oMath>
                </m:oMathPara>
              </a14:m>
              <a:endParaRPr kumimoji="1" lang="ja-JP" altLang="en-US" sz="1600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59" name="テキスト ボックス 59">
              <a:extLst>
                <a:ext uri="{FF2B5EF4-FFF2-40B4-BE49-F238E27FC236}">
                  <a16:creationId xmlns:a16="http://schemas.microsoft.com/office/drawing/2014/main" id="{ED065631-F4B8-144C-8598-0DD50221F61B}"/>
                </a:ext>
              </a:extLst>
            </xdr:cNvPr>
            <xdr:cNvSpPr txBox="1"/>
          </xdr:nvSpPr>
          <xdr:spPr>
            <a:xfrm>
              <a:off x="56842818" y="1949451"/>
              <a:ext cx="492919" cy="3434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600" b="0" i="0">
                  <a:solidFill>
                    <a:srgbClr val="FF0000"/>
                  </a:solidFill>
                  <a:latin typeface="Cambria Math"/>
                </a:rPr>
                <a:t>𝑋</a:t>
              </a:r>
              <a:endParaRPr kumimoji="1" lang="ja-JP" altLang="en-US" sz="16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oneCellAnchor>
    <xdr:from>
      <xdr:col>212</xdr:col>
      <xdr:colOff>0</xdr:colOff>
      <xdr:row>19</xdr:row>
      <xdr:rowOff>0</xdr:rowOff>
    </xdr:from>
    <xdr:ext cx="797718" cy="40543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0" name="テキスト ボックス 60">
              <a:extLst>
                <a:ext uri="{FF2B5EF4-FFF2-40B4-BE49-F238E27FC236}">
                  <a16:creationId xmlns:a16="http://schemas.microsoft.com/office/drawing/2014/main" id="{C12B3D69-74E7-4847-BB2A-248D74C0DE5D}"/>
                </a:ext>
              </a:extLst>
            </xdr:cNvPr>
            <xdr:cNvSpPr txBox="1"/>
          </xdr:nvSpPr>
          <xdr:spPr>
            <a:xfrm>
              <a:off x="56540400" y="3378200"/>
              <a:ext cx="797718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kumimoji="1" lang="en-US" altLang="ja-JP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kumimoji="1" lang="en-US" altLang="ja-JP" sz="2000" b="0" i="1">
                            <a:latin typeface="Cambria Math"/>
                          </a:rPr>
                          <m:t>𝑓</m:t>
                        </m:r>
                      </m:e>
                      <m:sub>
                        <m:r>
                          <a:rPr kumimoji="1" lang="en-US" altLang="ja-JP" sz="2000" b="0" i="1">
                            <a:latin typeface="Cambria Math"/>
                          </a:rPr>
                          <m:t>𝑘</m:t>
                        </m:r>
                      </m:sub>
                    </m:sSub>
                  </m:oMath>
                </m:oMathPara>
              </a14:m>
              <a:endParaRPr kumimoji="1" lang="ja-JP" altLang="en-US" sz="2000"/>
            </a:p>
          </xdr:txBody>
        </xdr:sp>
      </mc:Choice>
      <mc:Fallback>
        <xdr:sp macro="" textlink="">
          <xdr:nvSpPr>
            <xdr:cNvPr id="60" name="テキスト ボックス 60">
              <a:extLst>
                <a:ext uri="{FF2B5EF4-FFF2-40B4-BE49-F238E27FC236}">
                  <a16:creationId xmlns:a16="http://schemas.microsoft.com/office/drawing/2014/main" id="{C12B3D69-74E7-4847-BB2A-248D74C0DE5D}"/>
                </a:ext>
              </a:extLst>
            </xdr:cNvPr>
            <xdr:cNvSpPr txBox="1"/>
          </xdr:nvSpPr>
          <xdr:spPr>
            <a:xfrm>
              <a:off x="56540400" y="3378200"/>
              <a:ext cx="797718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2000" b="0" i="0">
                  <a:latin typeface="Cambria Math"/>
                </a:rPr>
                <a:t>𝑓</a:t>
              </a:r>
              <a:r>
                <a:rPr kumimoji="1" lang="en-US" altLang="ja-JP" sz="20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2000" b="0" i="0">
                  <a:latin typeface="Cambria Math"/>
                </a:rPr>
                <a:t>𝑘</a:t>
              </a:r>
              <a:endParaRPr kumimoji="1" lang="ja-JP" altLang="en-US" sz="2000"/>
            </a:p>
          </xdr:txBody>
        </xdr:sp>
      </mc:Fallback>
    </mc:AlternateContent>
    <xdr:clientData/>
  </xdr:oneCellAnchor>
  <xdr:oneCellAnchor>
    <xdr:from>
      <xdr:col>209</xdr:col>
      <xdr:colOff>0</xdr:colOff>
      <xdr:row>19</xdr:row>
      <xdr:rowOff>0</xdr:rowOff>
    </xdr:from>
    <xdr:ext cx="797718" cy="40543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1" name="テキスト ボックス 61">
              <a:extLst>
                <a:ext uri="{FF2B5EF4-FFF2-40B4-BE49-F238E27FC236}">
                  <a16:creationId xmlns:a16="http://schemas.microsoft.com/office/drawing/2014/main" id="{F78C6EE0-20D8-6F41-8D23-93450A13A781}"/>
                </a:ext>
              </a:extLst>
            </xdr:cNvPr>
            <xdr:cNvSpPr txBox="1"/>
          </xdr:nvSpPr>
          <xdr:spPr>
            <a:xfrm>
              <a:off x="55740300" y="3378200"/>
              <a:ext cx="797718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2000" b="0" i="1">
                        <a:latin typeface="Cambria Math"/>
                      </a:rPr>
                      <m:t>𝑘</m:t>
                    </m:r>
                  </m:oMath>
                </m:oMathPara>
              </a14:m>
              <a:endParaRPr kumimoji="1" lang="ja-JP" altLang="en-US" sz="2000"/>
            </a:p>
          </xdr:txBody>
        </xdr:sp>
      </mc:Choice>
      <mc:Fallback>
        <xdr:sp macro="" textlink="">
          <xdr:nvSpPr>
            <xdr:cNvPr id="61" name="テキスト ボックス 61">
              <a:extLst>
                <a:ext uri="{FF2B5EF4-FFF2-40B4-BE49-F238E27FC236}">
                  <a16:creationId xmlns:a16="http://schemas.microsoft.com/office/drawing/2014/main" id="{F78C6EE0-20D8-6F41-8D23-93450A13A781}"/>
                </a:ext>
              </a:extLst>
            </xdr:cNvPr>
            <xdr:cNvSpPr txBox="1"/>
          </xdr:nvSpPr>
          <xdr:spPr>
            <a:xfrm>
              <a:off x="55740300" y="3378200"/>
              <a:ext cx="797718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2000" b="0" i="0">
                  <a:latin typeface="Cambria Math"/>
                </a:rPr>
                <a:t>𝑘</a:t>
              </a:r>
              <a:endParaRPr kumimoji="1" lang="ja-JP" altLang="en-US" sz="2000"/>
            </a:p>
          </xdr:txBody>
        </xdr:sp>
      </mc:Fallback>
    </mc:AlternateContent>
    <xdr:clientData/>
  </xdr:oneCellAnchor>
  <xdr:oneCellAnchor>
    <xdr:from>
      <xdr:col>215</xdr:col>
      <xdr:colOff>0</xdr:colOff>
      <xdr:row>19</xdr:row>
      <xdr:rowOff>0</xdr:rowOff>
    </xdr:from>
    <xdr:ext cx="797718" cy="558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2" name="テキスト ボックス 62">
              <a:extLst>
                <a:ext uri="{FF2B5EF4-FFF2-40B4-BE49-F238E27FC236}">
                  <a16:creationId xmlns:a16="http://schemas.microsoft.com/office/drawing/2014/main" id="{F26864F2-B2CE-5A4F-ABEF-F23F46A1C4F7}"/>
                </a:ext>
              </a:extLst>
            </xdr:cNvPr>
            <xdr:cNvSpPr txBox="1"/>
          </xdr:nvSpPr>
          <xdr:spPr>
            <a:xfrm>
              <a:off x="57340500" y="3378200"/>
              <a:ext cx="797718" cy="558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kumimoji="1" lang="en-US" altLang="ja-JP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kumimoji="1" lang="en-US" altLang="ja-JP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𝑓</m:t>
                            </m:r>
                          </m:e>
                          <m:sub>
                            <m:r>
                              <a:rPr kumimoji="1" lang="en-US" altLang="ja-JP" sz="1600" b="0" i="1">
                                <a:latin typeface="Cambria Math"/>
                              </a:rPr>
                              <m:t>𝑘</m:t>
                            </m:r>
                          </m:sub>
                        </m:sSub>
                      </m:num>
                      <m:den>
                        <m:r>
                          <a:rPr kumimoji="1" lang="en-US" altLang="ja-JP" sz="1600" b="0" i="1">
                            <a:latin typeface="Cambria Math"/>
                          </a:rPr>
                          <m:t>𝑁</m:t>
                        </m:r>
                      </m:den>
                    </m:f>
                  </m:oMath>
                </m:oMathPara>
              </a14:m>
              <a:endParaRPr kumimoji="1" lang="ja-JP" altLang="en-US" sz="1600"/>
            </a:p>
          </xdr:txBody>
        </xdr:sp>
      </mc:Choice>
      <mc:Fallback>
        <xdr:sp macro="" textlink="">
          <xdr:nvSpPr>
            <xdr:cNvPr id="62" name="テキスト ボックス 62">
              <a:extLst>
                <a:ext uri="{FF2B5EF4-FFF2-40B4-BE49-F238E27FC236}">
                  <a16:creationId xmlns:a16="http://schemas.microsoft.com/office/drawing/2014/main" id="{F26864F2-B2CE-5A4F-ABEF-F23F46A1C4F7}"/>
                </a:ext>
              </a:extLst>
            </xdr:cNvPr>
            <xdr:cNvSpPr txBox="1"/>
          </xdr:nvSpPr>
          <xdr:spPr>
            <a:xfrm>
              <a:off x="57340500" y="3378200"/>
              <a:ext cx="797718" cy="558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600" b="0" i="0">
                  <a:latin typeface="Cambria Math"/>
                </a:rPr>
                <a:t>𝑓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600" b="0" i="0">
                  <a:latin typeface="Cambria Math"/>
                </a:rPr>
                <a:t>𝑘</a:t>
              </a:r>
              <a:r>
                <a:rPr kumimoji="1" lang="en-US" altLang="ja-JP" sz="1600" b="0" i="0">
                  <a:latin typeface="Cambria Math" panose="02040503050406030204" pitchFamily="18" charset="0"/>
                </a:rPr>
                <a:t>/</a:t>
              </a:r>
              <a:r>
                <a:rPr kumimoji="1" lang="en-US" altLang="ja-JP" sz="1600" b="0" i="0">
                  <a:latin typeface="Cambria Math"/>
                </a:rPr>
                <a:t>𝑁</a:t>
              </a:r>
              <a:endParaRPr kumimoji="1" lang="ja-JP" altLang="en-US" sz="1600"/>
            </a:p>
          </xdr:txBody>
        </xdr:sp>
      </mc:Fallback>
    </mc:AlternateContent>
    <xdr:clientData/>
  </xdr:oneCellAnchor>
  <xdr:oneCellAnchor>
    <xdr:from>
      <xdr:col>218</xdr:col>
      <xdr:colOff>0</xdr:colOff>
      <xdr:row>19</xdr:row>
      <xdr:rowOff>0</xdr:rowOff>
    </xdr:from>
    <xdr:ext cx="797718" cy="40543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3" name="テキスト ボックス 63">
              <a:extLst>
                <a:ext uri="{FF2B5EF4-FFF2-40B4-BE49-F238E27FC236}">
                  <a16:creationId xmlns:a16="http://schemas.microsoft.com/office/drawing/2014/main" id="{6A82F204-C1E2-B343-A1F4-C210C27A7433}"/>
                </a:ext>
              </a:extLst>
            </xdr:cNvPr>
            <xdr:cNvSpPr txBox="1"/>
          </xdr:nvSpPr>
          <xdr:spPr>
            <a:xfrm>
              <a:off x="58140600" y="3378200"/>
              <a:ext cx="797718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2000" b="0" i="1">
                        <a:latin typeface="Cambria Math"/>
                      </a:rPr>
                      <m:t>𝑋</m:t>
                    </m:r>
                  </m:oMath>
                </m:oMathPara>
              </a14:m>
              <a:endParaRPr kumimoji="1" lang="ja-JP" altLang="en-US" sz="2000"/>
            </a:p>
          </xdr:txBody>
        </xdr:sp>
      </mc:Choice>
      <mc:Fallback>
        <xdr:sp macro="" textlink="">
          <xdr:nvSpPr>
            <xdr:cNvPr id="63" name="テキスト ボックス 63">
              <a:extLst>
                <a:ext uri="{FF2B5EF4-FFF2-40B4-BE49-F238E27FC236}">
                  <a16:creationId xmlns:a16="http://schemas.microsoft.com/office/drawing/2014/main" id="{6A82F204-C1E2-B343-A1F4-C210C27A7433}"/>
                </a:ext>
              </a:extLst>
            </xdr:cNvPr>
            <xdr:cNvSpPr txBox="1"/>
          </xdr:nvSpPr>
          <xdr:spPr>
            <a:xfrm>
              <a:off x="58140600" y="3378200"/>
              <a:ext cx="797718" cy="4054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2000" b="0" i="0">
                  <a:latin typeface="Cambria Math"/>
                </a:rPr>
                <a:t>𝑋</a:t>
              </a:r>
              <a:endParaRPr kumimoji="1" lang="ja-JP" altLang="en-US" sz="2000"/>
            </a:p>
          </xdr:txBody>
        </xdr:sp>
      </mc:Fallback>
    </mc:AlternateContent>
    <xdr:clientData/>
  </xdr:oneCellAnchor>
  <xdr:oneCellAnchor>
    <xdr:from>
      <xdr:col>221</xdr:col>
      <xdr:colOff>0</xdr:colOff>
      <xdr:row>19</xdr:row>
      <xdr:rowOff>0</xdr:rowOff>
    </xdr:from>
    <xdr:ext cx="797718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4" name="テキスト ボックス 64">
              <a:extLst>
                <a:ext uri="{FF2B5EF4-FFF2-40B4-BE49-F238E27FC236}">
                  <a16:creationId xmlns:a16="http://schemas.microsoft.com/office/drawing/2014/main" id="{94F3B90D-ED00-9444-BB4D-A7BAB8DCA179}"/>
                </a:ext>
              </a:extLst>
            </xdr:cNvPr>
            <xdr:cNvSpPr txBox="1"/>
          </xdr:nvSpPr>
          <xdr:spPr>
            <a:xfrm>
              <a:off x="58940700" y="3378200"/>
              <a:ext cx="79771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=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64" name="テキスト ボックス 64">
              <a:extLst>
                <a:ext uri="{FF2B5EF4-FFF2-40B4-BE49-F238E27FC236}">
                  <a16:creationId xmlns:a16="http://schemas.microsoft.com/office/drawing/2014/main" id="{94F3B90D-ED00-9444-BB4D-A7BAB8DCA179}"/>
                </a:ext>
              </a:extLst>
            </xdr:cNvPr>
            <xdr:cNvSpPr txBox="1"/>
          </xdr:nvSpPr>
          <xdr:spPr>
            <a:xfrm>
              <a:off x="58940700" y="3378200"/>
              <a:ext cx="79771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𝑋=𝑥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225</xdr:col>
      <xdr:colOff>0</xdr:colOff>
      <xdr:row>27</xdr:row>
      <xdr:rowOff>0</xdr:rowOff>
    </xdr:from>
    <xdr:ext cx="2012156" cy="280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5" name="テキスト ボックス 65">
              <a:extLst>
                <a:ext uri="{FF2B5EF4-FFF2-40B4-BE49-F238E27FC236}">
                  <a16:creationId xmlns:a16="http://schemas.microsoft.com/office/drawing/2014/main" id="{AF8F3F6A-1377-514C-8AD1-762C131B9248}"/>
                </a:ext>
              </a:extLst>
            </xdr:cNvPr>
            <xdr:cNvSpPr txBox="1"/>
          </xdr:nvSpPr>
          <xdr:spPr>
            <a:xfrm>
              <a:off x="60007500" y="4800600"/>
              <a:ext cx="2012156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func>
                      <m:funcPr>
                        <m:ctrlPr>
                          <a:rPr kumimoji="1" lang="en-US" altLang="ja-JP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solidFill>
                              <a:srgbClr val="0070C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solidFill>
                                  <a:srgbClr val="0070C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solidFill>
                                  <a:srgbClr val="0070C0"/>
                                </a:solidFill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200" b="0" i="1">
                                <a:solidFill>
                                  <a:srgbClr val="0070C0"/>
                                </a:solidFill>
                                <a:latin typeface="Cambria Math"/>
                              </a:rPr>
                              <m:t>=0</m:t>
                            </m:r>
                          </m:e>
                        </m:d>
                        <m:r>
                          <a:rPr kumimoji="1" lang="en-US" altLang="ja-JP" sz="1200" b="0" i="1">
                            <a:solidFill>
                              <a:srgbClr val="0070C0"/>
                            </a:solidFill>
                            <a:latin typeface="Cambria Math"/>
                          </a:rPr>
                          <m:t>=0.13</m:t>
                        </m:r>
                      </m:e>
                    </m:func>
                  </m:oMath>
                </m:oMathPara>
              </a14:m>
              <a:endParaRPr kumimoji="1" lang="ja-JP" altLang="en-US" sz="1200">
                <a:solidFill>
                  <a:srgbClr val="0070C0"/>
                </a:solidFill>
              </a:endParaRPr>
            </a:p>
          </xdr:txBody>
        </xdr:sp>
      </mc:Choice>
      <mc:Fallback>
        <xdr:sp macro="" textlink="">
          <xdr:nvSpPr>
            <xdr:cNvPr id="65" name="テキスト ボックス 65">
              <a:extLst>
                <a:ext uri="{FF2B5EF4-FFF2-40B4-BE49-F238E27FC236}">
                  <a16:creationId xmlns:a16="http://schemas.microsoft.com/office/drawing/2014/main" id="{AF8F3F6A-1377-514C-8AD1-762C131B9248}"/>
                </a:ext>
              </a:extLst>
            </xdr:cNvPr>
            <xdr:cNvSpPr txBox="1"/>
          </xdr:nvSpPr>
          <xdr:spPr>
            <a:xfrm>
              <a:off x="60007500" y="4800600"/>
              <a:ext cx="2012156" cy="280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solidFill>
                    <a:srgbClr val="0070C0"/>
                  </a:solidFill>
                  <a:latin typeface="Cambria Math"/>
                </a:rPr>
                <a:t>Pr</a:t>
              </a:r>
              <a:r>
                <a:rPr kumimoji="1" lang="en-US" altLang="ja-JP" sz="1200" b="0" i="0">
                  <a:solidFill>
                    <a:srgbClr val="0070C0"/>
                  </a:solidFill>
                  <a:latin typeface="Cambria Math" panose="02040503050406030204" pitchFamily="18" charset="0"/>
                </a:rPr>
                <a:t>⁡〖(</a:t>
              </a:r>
              <a:r>
                <a:rPr kumimoji="1" lang="en-US" altLang="ja-JP" sz="1200" b="0" i="0">
                  <a:solidFill>
                    <a:srgbClr val="0070C0"/>
                  </a:solidFill>
                  <a:latin typeface="Cambria Math"/>
                </a:rPr>
                <a:t>𝑋=0</a:t>
              </a:r>
              <a:r>
                <a:rPr kumimoji="1" lang="en-US" altLang="ja-JP" sz="1200" b="0" i="0">
                  <a:solidFill>
                    <a:srgbClr val="0070C0"/>
                  </a:solidFill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solidFill>
                    <a:srgbClr val="0070C0"/>
                  </a:solidFill>
                  <a:latin typeface="Cambria Math"/>
                </a:rPr>
                <a:t>=0.13</a:t>
              </a:r>
              <a:r>
                <a:rPr kumimoji="1" lang="en-US" altLang="ja-JP" sz="1200" b="0" i="0">
                  <a:solidFill>
                    <a:srgbClr val="0070C0"/>
                  </a:solidFill>
                  <a:latin typeface="Cambria Math" panose="02040503050406030204" pitchFamily="18" charset="0"/>
                </a:rPr>
                <a:t>〗</a:t>
              </a:r>
              <a:endParaRPr kumimoji="1" lang="ja-JP" altLang="en-US" sz="1200">
                <a:solidFill>
                  <a:srgbClr val="0070C0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49ED-395C-B046-BE9A-F69AF51326EB}">
  <dimension ref="A1:IX36"/>
  <sheetViews>
    <sheetView showGridLines="0" tabSelected="1" view="pageLayout" zoomScale="80" zoomScaleNormal="90" zoomScaleSheetLayoutView="100" zoomScalePageLayoutView="80" workbookViewId="0">
      <selection activeCell="Q3" sqref="Q3"/>
    </sheetView>
  </sheetViews>
  <sheetFormatPr baseColWidth="10" defaultColWidth="3.5" defaultRowHeight="25" customHeight="1"/>
  <cols>
    <col min="1" max="1" width="3.5" style="2"/>
    <col min="2" max="2" width="4.33203125" style="2" bestFit="1" customWidth="1"/>
    <col min="3" max="7" width="3.5" style="2"/>
    <col min="8" max="8" width="4" style="2" bestFit="1" customWidth="1"/>
    <col min="9" max="26" width="3.5" style="2"/>
    <col min="27" max="16384" width="3.5" style="1"/>
  </cols>
  <sheetData>
    <row r="1" spans="1:258" ht="2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58" ht="25" customHeight="1">
      <c r="A2" s="1"/>
      <c r="B2" s="1"/>
      <c r="C2" s="112" t="s">
        <v>231</v>
      </c>
      <c r="D2" s="111"/>
      <c r="E2" s="111"/>
      <c r="F2" s="110"/>
      <c r="G2" s="113" t="s">
        <v>230</v>
      </c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7"/>
      <c r="Y2" s="21"/>
      <c r="Z2" s="21"/>
      <c r="AA2" s="10" t="s">
        <v>51</v>
      </c>
      <c r="AB2" s="10"/>
      <c r="AC2" s="10"/>
      <c r="AD2" s="1" t="s">
        <v>229</v>
      </c>
      <c r="AG2" s="1" t="s">
        <v>228</v>
      </c>
      <c r="BA2" s="10" t="s">
        <v>227</v>
      </c>
      <c r="BB2" s="10"/>
      <c r="BC2" s="10"/>
      <c r="BD2" s="1" t="s">
        <v>195</v>
      </c>
      <c r="CA2" s="10" t="s">
        <v>227</v>
      </c>
      <c r="CB2" s="10"/>
      <c r="CC2" s="10"/>
      <c r="CD2" s="1" t="s">
        <v>161</v>
      </c>
      <c r="DA2" s="10" t="s">
        <v>226</v>
      </c>
      <c r="DB2" s="10"/>
      <c r="DC2" s="10"/>
      <c r="DD2" s="1" t="s">
        <v>225</v>
      </c>
      <c r="EA2" s="10" t="s">
        <v>224</v>
      </c>
      <c r="EB2" s="10"/>
      <c r="EC2" s="10"/>
      <c r="ED2" s="1" t="s">
        <v>223</v>
      </c>
      <c r="FA2" s="10" t="s">
        <v>222</v>
      </c>
      <c r="FB2" s="10"/>
      <c r="FC2" s="10"/>
      <c r="FD2" s="1" t="s">
        <v>221</v>
      </c>
      <c r="GA2" s="10" t="s">
        <v>222</v>
      </c>
      <c r="GB2" s="10"/>
      <c r="GC2" s="10"/>
      <c r="GD2" s="1" t="s">
        <v>221</v>
      </c>
      <c r="GY2" s="21"/>
      <c r="HA2" s="10" t="s">
        <v>4</v>
      </c>
      <c r="HB2" s="10"/>
      <c r="HC2" s="10"/>
      <c r="HD2" s="31" t="s">
        <v>220</v>
      </c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IA2" s="21"/>
      <c r="IC2" s="112" t="s">
        <v>219</v>
      </c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0"/>
    </row>
    <row r="3" spans="1:258" ht="25" customHeight="1" thickBot="1">
      <c r="A3" s="1"/>
      <c r="B3" s="1"/>
      <c r="C3" s="109"/>
      <c r="D3" s="10"/>
      <c r="E3" s="10"/>
      <c r="F3" s="108"/>
      <c r="G3" s="67" t="s">
        <v>218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66"/>
      <c r="Y3" s="21"/>
      <c r="Z3" s="21"/>
      <c r="AE3" s="1" t="s">
        <v>57</v>
      </c>
      <c r="AH3" s="1" t="s">
        <v>217</v>
      </c>
      <c r="BE3" s="1" t="s">
        <v>216</v>
      </c>
      <c r="BO3" s="107"/>
      <c r="BP3" s="106"/>
      <c r="BQ3" s="106"/>
      <c r="BR3" s="106"/>
      <c r="BS3" s="106"/>
      <c r="BT3" s="106"/>
      <c r="BU3" s="106"/>
      <c r="BV3" s="106"/>
      <c r="BW3" s="105"/>
      <c r="CE3" s="16"/>
      <c r="CF3" s="15"/>
      <c r="CG3" s="15"/>
      <c r="CH3" s="14"/>
      <c r="CI3" s="1" t="s">
        <v>215</v>
      </c>
      <c r="DE3" s="16"/>
      <c r="DF3" s="15"/>
      <c r="DG3" s="15"/>
      <c r="DH3" s="15"/>
      <c r="DI3" s="14"/>
      <c r="DJ3" s="1" t="s">
        <v>214</v>
      </c>
      <c r="EE3" s="1" t="s">
        <v>81</v>
      </c>
      <c r="EF3" s="1" t="s">
        <v>213</v>
      </c>
      <c r="FE3" s="16"/>
      <c r="FF3" s="15"/>
      <c r="FG3" s="15"/>
      <c r="FH3" s="14"/>
      <c r="FI3" s="1" t="s">
        <v>212</v>
      </c>
      <c r="GE3" s="16"/>
      <c r="GF3" s="15"/>
      <c r="GG3" s="15"/>
      <c r="GH3" s="14"/>
      <c r="GI3" s="1" t="s">
        <v>212</v>
      </c>
      <c r="GY3" s="21"/>
      <c r="HA3" s="31"/>
      <c r="HB3" s="31"/>
      <c r="HC3" s="31"/>
      <c r="HD3" s="31" t="s">
        <v>200</v>
      </c>
      <c r="HE3" s="31"/>
      <c r="HF3" s="31"/>
      <c r="HG3" s="31" t="s">
        <v>32</v>
      </c>
      <c r="HH3" s="31" t="s">
        <v>211</v>
      </c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IA3" s="21"/>
      <c r="IC3" s="104"/>
      <c r="ID3" s="103"/>
      <c r="IE3" s="103"/>
      <c r="IF3" s="103"/>
      <c r="IG3" s="103"/>
      <c r="IH3" s="103"/>
      <c r="II3" s="103"/>
      <c r="IJ3" s="103"/>
      <c r="IK3" s="103"/>
      <c r="IL3" s="103"/>
      <c r="IM3" s="103"/>
      <c r="IN3" s="103"/>
      <c r="IO3" s="103"/>
      <c r="IP3" s="103"/>
      <c r="IQ3" s="103"/>
      <c r="IR3" s="103"/>
      <c r="IS3" s="103"/>
      <c r="IT3" s="103"/>
      <c r="IU3" s="103"/>
      <c r="IV3" s="103"/>
      <c r="IW3" s="103"/>
      <c r="IX3" s="102"/>
    </row>
    <row r="4" spans="1:258" ht="25" customHeight="1" thickBot="1">
      <c r="A4" s="1"/>
      <c r="B4" s="1"/>
      <c r="C4" s="104"/>
      <c r="D4" s="103"/>
      <c r="E4" s="103"/>
      <c r="F4" s="102"/>
      <c r="G4" s="101" t="s">
        <v>210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59"/>
      <c r="Y4" s="31"/>
      <c r="Z4" s="31"/>
      <c r="AJ4" s="1" t="str">
        <f>"={"</f>
        <v>={</v>
      </c>
      <c r="AK4" s="16"/>
      <c r="AL4" s="15"/>
      <c r="AM4" s="15"/>
      <c r="AN4" s="15"/>
      <c r="AO4" s="14"/>
      <c r="AP4" s="1" t="s">
        <v>20</v>
      </c>
      <c r="BO4" s="100"/>
      <c r="BP4" s="99"/>
      <c r="BQ4" s="99"/>
      <c r="BR4" s="99"/>
      <c r="BS4" s="99"/>
      <c r="BT4" s="99"/>
      <c r="BU4" s="99"/>
      <c r="BV4" s="99"/>
      <c r="BW4" s="98"/>
      <c r="CI4" s="1" t="s">
        <v>33</v>
      </c>
      <c r="CJ4" s="1" t="s">
        <v>209</v>
      </c>
      <c r="DF4" s="1" t="s">
        <v>208</v>
      </c>
      <c r="EF4" s="1" t="s">
        <v>207</v>
      </c>
      <c r="FF4" s="1" t="s">
        <v>206</v>
      </c>
      <c r="GF4" s="1" t="s">
        <v>206</v>
      </c>
      <c r="GY4" s="21"/>
      <c r="HA4" s="31"/>
      <c r="HB4" s="31"/>
      <c r="HC4" s="31"/>
      <c r="HD4" s="31"/>
      <c r="HE4" s="31"/>
      <c r="HF4" s="31"/>
      <c r="HG4" s="31"/>
      <c r="HH4" s="31" t="s">
        <v>103</v>
      </c>
      <c r="HI4" s="31" t="s">
        <v>205</v>
      </c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IA4" s="21"/>
      <c r="IC4" s="89"/>
      <c r="ID4" s="1" t="s">
        <v>195</v>
      </c>
      <c r="IV4" s="96"/>
      <c r="IW4" s="96"/>
      <c r="IX4" s="97"/>
    </row>
    <row r="5" spans="1:258" ht="25" customHeight="1">
      <c r="A5" s="1"/>
      <c r="B5" s="1"/>
      <c r="C5" s="1"/>
      <c r="D5" s="1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21"/>
      <c r="Y5" s="31"/>
      <c r="Z5" s="31"/>
      <c r="AJ5" s="1" t="str">
        <f>"={"</f>
        <v>={</v>
      </c>
      <c r="AK5" s="16"/>
      <c r="AL5" s="15"/>
      <c r="AM5" s="15"/>
      <c r="AN5" s="15"/>
      <c r="AO5" s="14"/>
      <c r="AP5" s="1" t="s">
        <v>20</v>
      </c>
      <c r="AQ5" s="1" t="s">
        <v>160</v>
      </c>
      <c r="CB5" s="1" t="s">
        <v>91</v>
      </c>
      <c r="CE5" s="16"/>
      <c r="CF5" s="15"/>
      <c r="CG5" s="15"/>
      <c r="CH5" s="14"/>
      <c r="CI5" s="1" t="s">
        <v>204</v>
      </c>
      <c r="DF5" s="1" t="s">
        <v>157</v>
      </c>
      <c r="DS5" s="1" t="s">
        <v>203</v>
      </c>
      <c r="EG5" s="1" t="s">
        <v>57</v>
      </c>
      <c r="EK5" s="1" t="s">
        <v>202</v>
      </c>
      <c r="EQ5" s="1" t="s">
        <v>184</v>
      </c>
      <c r="FF5" s="1" t="s">
        <v>201</v>
      </c>
      <c r="GF5" s="1" t="s">
        <v>201</v>
      </c>
      <c r="GY5" s="21"/>
      <c r="HA5" s="31"/>
      <c r="HB5" s="31"/>
      <c r="HC5" s="31"/>
      <c r="HD5" s="31"/>
      <c r="HE5" s="31"/>
      <c r="HF5" s="31"/>
      <c r="HG5" s="31"/>
      <c r="HH5" s="31"/>
      <c r="HI5" s="31" t="s">
        <v>1</v>
      </c>
      <c r="HJ5" s="16"/>
      <c r="HK5" s="15"/>
      <c r="HL5" s="14"/>
      <c r="HM5" s="31" t="s">
        <v>200</v>
      </c>
      <c r="HN5" s="31"/>
      <c r="HO5" s="31"/>
      <c r="HP5" s="31"/>
      <c r="HQ5" s="31"/>
      <c r="HR5" s="31"/>
      <c r="HS5" s="31"/>
      <c r="HT5" s="31"/>
      <c r="HU5" s="31"/>
      <c r="HV5" s="31"/>
      <c r="IA5" s="21"/>
      <c r="IC5" s="89"/>
      <c r="IE5" s="1" t="s">
        <v>199</v>
      </c>
      <c r="IX5" s="66"/>
    </row>
    <row r="6" spans="1:258" ht="25" customHeight="1">
      <c r="A6" s="10" t="s">
        <v>198</v>
      </c>
      <c r="B6" s="10"/>
      <c r="C6" s="10"/>
      <c r="D6" s="21" t="s">
        <v>197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31"/>
      <c r="AJ6" s="16"/>
      <c r="AK6" s="40"/>
      <c r="AL6" s="40"/>
      <c r="AM6" s="39"/>
      <c r="AN6" s="1" t="s">
        <v>196</v>
      </c>
      <c r="BA6" s="95" t="s">
        <v>91</v>
      </c>
      <c r="BB6" s="94"/>
      <c r="BC6" s="94"/>
      <c r="BD6" s="93" t="s">
        <v>195</v>
      </c>
      <c r="BE6" s="93"/>
      <c r="BF6" s="93"/>
      <c r="BG6" s="93"/>
      <c r="BH6" s="93" t="s">
        <v>194</v>
      </c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2"/>
      <c r="BW6" s="91"/>
      <c r="BX6" s="90"/>
      <c r="CI6" s="1" t="s">
        <v>134</v>
      </c>
      <c r="EK6" s="16"/>
      <c r="EL6" s="15"/>
      <c r="EM6" s="15"/>
      <c r="EN6" s="15"/>
      <c r="EO6" s="14"/>
      <c r="ER6" s="16"/>
      <c r="ES6" s="15"/>
      <c r="ET6" s="15"/>
      <c r="EU6" s="15"/>
      <c r="EV6" s="14"/>
      <c r="FE6" s="16"/>
      <c r="FF6" s="15"/>
      <c r="FG6" s="15"/>
      <c r="FH6" s="14"/>
      <c r="GE6" s="16"/>
      <c r="GF6" s="15"/>
      <c r="GG6" s="15"/>
      <c r="GH6" s="14"/>
      <c r="GY6" s="21"/>
      <c r="HA6" s="31"/>
      <c r="HB6" s="31"/>
      <c r="HC6" s="31"/>
      <c r="HD6" s="31"/>
      <c r="HE6" s="31"/>
      <c r="HF6" s="31"/>
      <c r="HG6" s="31"/>
      <c r="HH6" s="31" t="s">
        <v>12</v>
      </c>
      <c r="HI6" s="31" t="s">
        <v>193</v>
      </c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IA6" s="21"/>
      <c r="IC6" s="89"/>
      <c r="IF6" s="1" t="s">
        <v>81</v>
      </c>
      <c r="IG6" s="1" t="s">
        <v>192</v>
      </c>
      <c r="IX6" s="66"/>
    </row>
    <row r="7" spans="1:258" ht="25" customHeight="1">
      <c r="A7" s="31"/>
      <c r="B7" s="31"/>
      <c r="D7" s="21"/>
      <c r="E7" s="16"/>
      <c r="F7" s="15"/>
      <c r="G7" s="14"/>
      <c r="H7" s="21" t="s">
        <v>191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31"/>
      <c r="AN7" s="1" t="s">
        <v>190</v>
      </c>
      <c r="BC7" s="74"/>
      <c r="BE7" s="82" t="s">
        <v>189</v>
      </c>
      <c r="BF7" s="82"/>
      <c r="BG7" s="20" t="s">
        <v>188</v>
      </c>
      <c r="BX7" s="73"/>
      <c r="CI7" s="1" t="s">
        <v>187</v>
      </c>
      <c r="DE7" s="16"/>
      <c r="DF7" s="15"/>
      <c r="DG7" s="15"/>
      <c r="DH7" s="15"/>
      <c r="DI7" s="14"/>
      <c r="DJ7" s="1" t="s">
        <v>186</v>
      </c>
      <c r="EG7" s="1" t="s">
        <v>63</v>
      </c>
      <c r="EK7" s="1" t="s">
        <v>185</v>
      </c>
      <c r="EQ7" s="1" t="s">
        <v>184</v>
      </c>
      <c r="FF7" s="1" t="s">
        <v>183</v>
      </c>
      <c r="GF7" s="1" t="s">
        <v>183</v>
      </c>
      <c r="GY7" s="58"/>
      <c r="HA7" s="31"/>
      <c r="HB7" s="31"/>
      <c r="HC7" s="31"/>
      <c r="HD7" s="31"/>
      <c r="HE7" s="31"/>
      <c r="HF7" s="31"/>
      <c r="HG7" s="31"/>
      <c r="HH7" s="31"/>
      <c r="HI7" s="31" t="s">
        <v>182</v>
      </c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IA7" s="21"/>
      <c r="IC7" s="89"/>
      <c r="IF7" s="1" t="s">
        <v>80</v>
      </c>
      <c r="IG7" s="1" t="s">
        <v>181</v>
      </c>
      <c r="IX7" s="66"/>
    </row>
    <row r="8" spans="1:258" ht="25" customHeight="1">
      <c r="A8" s="31"/>
      <c r="B8" s="31"/>
      <c r="D8" s="21"/>
      <c r="E8" s="16"/>
      <c r="F8" s="15"/>
      <c r="G8" s="14"/>
      <c r="H8" s="21" t="s">
        <v>180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31"/>
      <c r="AN8" s="1" t="s">
        <v>33</v>
      </c>
      <c r="AO8" s="1" t="s">
        <v>179</v>
      </c>
      <c r="BC8" s="74"/>
      <c r="BH8" s="1" t="s">
        <v>178</v>
      </c>
      <c r="BX8" s="73"/>
      <c r="CJ8" s="1" t="s">
        <v>33</v>
      </c>
      <c r="CK8" s="1" t="s">
        <v>177</v>
      </c>
      <c r="DF8" s="1" t="s">
        <v>176</v>
      </c>
      <c r="EK8" s="16"/>
      <c r="EL8" s="15"/>
      <c r="EM8" s="15"/>
      <c r="EN8" s="15"/>
      <c r="EO8" s="14"/>
      <c r="ER8" s="16"/>
      <c r="ES8" s="15"/>
      <c r="ET8" s="15"/>
      <c r="EU8" s="15"/>
      <c r="EV8" s="14"/>
      <c r="FE8" s="1" t="s">
        <v>175</v>
      </c>
      <c r="FK8" s="88"/>
      <c r="FL8" s="87"/>
      <c r="FM8" s="87"/>
      <c r="FN8" s="87"/>
      <c r="FO8" s="87"/>
      <c r="FP8" s="87"/>
      <c r="FQ8" s="87"/>
      <c r="FR8" s="87"/>
      <c r="FS8" s="87"/>
      <c r="FT8" s="87"/>
      <c r="FU8" s="87"/>
      <c r="FV8" s="87"/>
      <c r="FW8" s="87"/>
      <c r="FX8" s="86"/>
      <c r="GE8" s="1" t="s">
        <v>175</v>
      </c>
      <c r="GK8" s="88"/>
      <c r="GL8" s="87"/>
      <c r="GM8" s="87"/>
      <c r="GN8" s="87"/>
      <c r="GO8" s="87"/>
      <c r="GP8" s="87"/>
      <c r="GQ8" s="87"/>
      <c r="GR8" s="87"/>
      <c r="GS8" s="87"/>
      <c r="GT8" s="87"/>
      <c r="GU8" s="87"/>
      <c r="GV8" s="87"/>
      <c r="GW8" s="87"/>
      <c r="GX8" s="86"/>
      <c r="GY8" s="21"/>
      <c r="HA8" s="31"/>
      <c r="HB8" s="31"/>
      <c r="HC8" s="31"/>
      <c r="HD8" s="31" t="s">
        <v>174</v>
      </c>
      <c r="HE8" s="31"/>
      <c r="HF8" s="31"/>
      <c r="HG8" s="31" t="s">
        <v>32</v>
      </c>
      <c r="HH8" s="31" t="s">
        <v>173</v>
      </c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IA8" s="21"/>
      <c r="IC8" s="67"/>
      <c r="IF8" s="1" t="s">
        <v>66</v>
      </c>
      <c r="IG8" s="1" t="s">
        <v>172</v>
      </c>
      <c r="IX8" s="66"/>
    </row>
    <row r="9" spans="1:258" ht="25" customHeight="1">
      <c r="A9" s="31"/>
      <c r="B9" s="31"/>
      <c r="D9" s="21"/>
      <c r="E9" s="21"/>
      <c r="F9" s="21" t="s">
        <v>33</v>
      </c>
      <c r="G9" s="21" t="s">
        <v>32</v>
      </c>
      <c r="H9" s="21" t="s">
        <v>171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31"/>
      <c r="AE9" s="1" t="s">
        <v>56</v>
      </c>
      <c r="AH9" s="1" t="s">
        <v>170</v>
      </c>
      <c r="BC9" s="74"/>
      <c r="BE9" s="82" t="s">
        <v>169</v>
      </c>
      <c r="BF9" s="82"/>
      <c r="BX9" s="73"/>
      <c r="CK9" s="1" t="s">
        <v>143</v>
      </c>
      <c r="CO9" s="16"/>
      <c r="CP9" s="14"/>
      <c r="DF9" s="1" t="s">
        <v>120</v>
      </c>
      <c r="EG9" s="1" t="s">
        <v>168</v>
      </c>
      <c r="FF9" s="1" t="s">
        <v>167</v>
      </c>
      <c r="FK9" s="85"/>
      <c r="FX9" s="84"/>
      <c r="GF9" s="1" t="s">
        <v>167</v>
      </c>
      <c r="GK9" s="85"/>
      <c r="GX9" s="84"/>
      <c r="GY9" s="21"/>
      <c r="HA9" s="31"/>
      <c r="HB9" s="31"/>
      <c r="HC9" s="31"/>
      <c r="HD9" s="31"/>
      <c r="HE9" s="31"/>
      <c r="HF9" s="31"/>
      <c r="HG9" s="31"/>
      <c r="HH9" s="31" t="s">
        <v>166</v>
      </c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IA9" s="21"/>
      <c r="IC9" s="67"/>
      <c r="IX9" s="66"/>
    </row>
    <row r="10" spans="1:258" ht="25" customHeight="1">
      <c r="A10" s="31"/>
      <c r="B10" s="31"/>
      <c r="D10" s="21"/>
      <c r="E10" s="21"/>
      <c r="F10" s="21"/>
      <c r="G10" s="21"/>
      <c r="H10" s="21" t="s">
        <v>165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31"/>
      <c r="AJ10" s="1" t="str">
        <f>"={"</f>
        <v>={</v>
      </c>
      <c r="AK10" s="16"/>
      <c r="AL10" s="15"/>
      <c r="AM10" s="15"/>
      <c r="AN10" s="15"/>
      <c r="AO10" s="14"/>
      <c r="AP10" s="1" t="s">
        <v>20</v>
      </c>
      <c r="BC10" s="74"/>
      <c r="BH10" s="1" t="s">
        <v>164</v>
      </c>
      <c r="BX10" s="73"/>
      <c r="CK10" s="69" t="s">
        <v>134</v>
      </c>
      <c r="CL10" s="69"/>
      <c r="CM10" s="69"/>
      <c r="CN10" s="68"/>
      <c r="CO10" s="46"/>
      <c r="CP10" s="44"/>
      <c r="EH10" s="88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6"/>
      <c r="FF10" s="1" t="s">
        <v>163</v>
      </c>
      <c r="FK10" s="85"/>
      <c r="FX10" s="84"/>
      <c r="GF10" s="1" t="s">
        <v>163</v>
      </c>
      <c r="GK10" s="85"/>
      <c r="GX10" s="84"/>
      <c r="GY10" s="21"/>
      <c r="HA10" s="31"/>
      <c r="HB10" s="31"/>
      <c r="HC10" s="31"/>
      <c r="HD10" s="31" t="s">
        <v>77</v>
      </c>
      <c r="HE10" s="31"/>
      <c r="HF10" s="31"/>
      <c r="HG10" s="31"/>
      <c r="HH10" s="31"/>
      <c r="HI10" s="31" t="s">
        <v>32</v>
      </c>
      <c r="HJ10" s="31" t="s">
        <v>162</v>
      </c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IA10" s="21"/>
      <c r="IC10" s="63"/>
      <c r="ID10" s="29" t="s">
        <v>161</v>
      </c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  <c r="IW10" s="29"/>
      <c r="IX10" s="62"/>
    </row>
    <row r="11" spans="1:258" ht="25" customHeight="1">
      <c r="A11" s="31"/>
      <c r="B11" s="3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58"/>
      <c r="Z11" s="53"/>
      <c r="AC11" s="52"/>
      <c r="AE11" s="52"/>
      <c r="AF11" s="52"/>
      <c r="AH11" s="52"/>
      <c r="AJ11" s="1" t="str">
        <f>"={"</f>
        <v>={</v>
      </c>
      <c r="AK11" s="16"/>
      <c r="AL11" s="15"/>
      <c r="AM11" s="15"/>
      <c r="AN11" s="15"/>
      <c r="AO11" s="14"/>
      <c r="AP11" s="1" t="s">
        <v>20</v>
      </c>
      <c r="AQ11" s="1" t="s">
        <v>160</v>
      </c>
      <c r="AT11" s="52"/>
      <c r="AU11" s="52"/>
      <c r="AV11" s="52"/>
      <c r="AW11" s="52"/>
      <c r="AX11" s="52"/>
      <c r="AY11" s="52"/>
      <c r="AZ11" s="52"/>
      <c r="BC11" s="83"/>
      <c r="BE11" s="82" t="s">
        <v>159</v>
      </c>
      <c r="BF11" s="82"/>
      <c r="BG11" s="20" t="s">
        <v>158</v>
      </c>
      <c r="BH11" s="52"/>
      <c r="BI11" s="52"/>
      <c r="BJ11" s="52"/>
      <c r="BK11" s="52"/>
      <c r="BL11" s="52"/>
      <c r="BM11" s="52"/>
      <c r="BN11" s="52"/>
      <c r="BO11" s="52"/>
      <c r="BT11" s="52"/>
      <c r="BU11" s="52"/>
      <c r="BV11" s="52"/>
      <c r="BW11" s="52"/>
      <c r="BX11" s="81"/>
      <c r="BY11" s="52"/>
      <c r="BZ11" s="52"/>
      <c r="CC11" s="52"/>
      <c r="CE11" s="52"/>
      <c r="CF11" s="52"/>
      <c r="CH11" s="52"/>
      <c r="CI11" s="52"/>
      <c r="CJ11" s="52"/>
      <c r="CK11" s="69"/>
      <c r="CL11" s="69"/>
      <c r="CM11" s="69"/>
      <c r="CN11" s="68"/>
      <c r="CO11" s="41"/>
      <c r="CP11" s="39"/>
      <c r="CT11" s="52"/>
      <c r="CU11" s="52"/>
      <c r="CV11" s="52"/>
      <c r="CW11" s="52"/>
      <c r="CX11" s="52"/>
      <c r="CY11" s="52"/>
      <c r="CZ11" s="52"/>
      <c r="DC11" s="52"/>
      <c r="DE11" s="1" t="s">
        <v>157</v>
      </c>
      <c r="DF11" s="52"/>
      <c r="DH11" s="52"/>
      <c r="DI11" s="52"/>
      <c r="DJ11" s="52"/>
      <c r="DK11" s="52"/>
      <c r="DL11" s="52"/>
      <c r="DM11" s="52"/>
      <c r="DN11" s="52"/>
      <c r="DO11" s="52"/>
      <c r="DR11" s="1" t="s">
        <v>156</v>
      </c>
      <c r="DT11" s="52"/>
      <c r="DU11" s="52"/>
      <c r="DV11" s="52"/>
      <c r="DW11" s="52"/>
      <c r="DX11" s="52"/>
      <c r="DY11" s="52"/>
      <c r="DZ11" s="52"/>
      <c r="EC11" s="52"/>
      <c r="EE11" s="52"/>
      <c r="EF11" s="52"/>
      <c r="EH11" s="80"/>
      <c r="EI11" s="78"/>
      <c r="EJ11" s="78"/>
      <c r="EK11" s="78"/>
      <c r="EL11" s="78"/>
      <c r="EM11" s="78"/>
      <c r="EN11" s="78"/>
      <c r="EO11" s="78"/>
      <c r="EP11" s="79"/>
      <c r="EQ11" s="79"/>
      <c r="ER11" s="79"/>
      <c r="ES11" s="79"/>
      <c r="ET11" s="78"/>
      <c r="EU11" s="78"/>
      <c r="EV11" s="78"/>
      <c r="EW11" s="78"/>
      <c r="EX11" s="77"/>
      <c r="EY11" s="52"/>
      <c r="EZ11" s="52"/>
      <c r="FC11" s="52"/>
      <c r="FE11" s="52"/>
      <c r="FF11" s="52"/>
      <c r="FH11" s="52"/>
      <c r="FI11" s="52"/>
      <c r="FJ11" s="52"/>
      <c r="FK11" s="80"/>
      <c r="FL11" s="78"/>
      <c r="FM11" s="78"/>
      <c r="FN11" s="78"/>
      <c r="FO11" s="78"/>
      <c r="FP11" s="79"/>
      <c r="FQ11" s="79"/>
      <c r="FR11" s="79"/>
      <c r="FS11" s="79"/>
      <c r="FT11" s="78"/>
      <c r="FU11" s="78"/>
      <c r="FV11" s="78"/>
      <c r="FW11" s="78"/>
      <c r="FX11" s="77"/>
      <c r="FY11" s="52"/>
      <c r="FZ11" s="52"/>
      <c r="GC11" s="52"/>
      <c r="GE11" s="52"/>
      <c r="GF11" s="52"/>
      <c r="GH11" s="52"/>
      <c r="GI11" s="52"/>
      <c r="GJ11" s="52"/>
      <c r="GK11" s="80"/>
      <c r="GL11" s="78"/>
      <c r="GM11" s="78"/>
      <c r="GN11" s="78"/>
      <c r="GO11" s="78"/>
      <c r="GP11" s="79"/>
      <c r="GQ11" s="79"/>
      <c r="GR11" s="79"/>
      <c r="GS11" s="79"/>
      <c r="GT11" s="78"/>
      <c r="GU11" s="78"/>
      <c r="GV11" s="78"/>
      <c r="GW11" s="78"/>
      <c r="GX11" s="77"/>
      <c r="GY11" s="21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21"/>
      <c r="IC11" s="67"/>
      <c r="IE11" s="1" t="s">
        <v>155</v>
      </c>
      <c r="IX11" s="66"/>
    </row>
    <row r="12" spans="1:258" ht="25" customHeight="1">
      <c r="A12" s="31"/>
      <c r="B12" s="31"/>
      <c r="D12" s="21"/>
      <c r="E12" s="16"/>
      <c r="F12" s="15"/>
      <c r="G12" s="14"/>
      <c r="H12" s="21" t="s">
        <v>154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31"/>
      <c r="AN12" s="1" t="s">
        <v>153</v>
      </c>
      <c r="AS12" s="16"/>
      <c r="AT12" s="14"/>
      <c r="AU12" s="1" t="s">
        <v>152</v>
      </c>
      <c r="BC12" s="74"/>
      <c r="BK12" s="20" t="s">
        <v>59</v>
      </c>
      <c r="BX12" s="73"/>
      <c r="CJ12" s="1" t="s">
        <v>33</v>
      </c>
      <c r="CK12" s="1" t="s">
        <v>151</v>
      </c>
      <c r="DF12" s="1" t="s">
        <v>150</v>
      </c>
      <c r="EE12" s="1" t="s">
        <v>80</v>
      </c>
      <c r="EF12" s="1" t="s">
        <v>149</v>
      </c>
      <c r="FF12" s="1" t="s">
        <v>148</v>
      </c>
      <c r="FP12" s="16"/>
      <c r="FQ12" s="15"/>
      <c r="FR12" s="15"/>
      <c r="FS12" s="15"/>
      <c r="FT12" s="14"/>
      <c r="GF12" s="1" t="s">
        <v>148</v>
      </c>
      <c r="GP12" s="16"/>
      <c r="GQ12" s="15"/>
      <c r="GR12" s="15"/>
      <c r="GS12" s="15"/>
      <c r="GT12" s="14"/>
      <c r="GY12" s="21"/>
      <c r="HA12" s="31"/>
      <c r="HB12" s="31"/>
      <c r="HC12" s="31"/>
      <c r="HD12" s="76" t="s">
        <v>147</v>
      </c>
      <c r="HE12" s="31"/>
      <c r="HF12" s="31"/>
      <c r="HG12" s="31"/>
      <c r="HH12" s="31"/>
      <c r="HI12" s="31"/>
      <c r="HJ12" s="16"/>
      <c r="HK12" s="15"/>
      <c r="HL12" s="15"/>
      <c r="HM12" s="14"/>
      <c r="HN12" s="76" t="s">
        <v>146</v>
      </c>
      <c r="HO12" s="31"/>
      <c r="HP12" s="31"/>
      <c r="HQ12" s="31"/>
      <c r="HR12" s="31"/>
      <c r="HS12" s="31"/>
      <c r="HT12" s="31"/>
      <c r="HU12" s="31"/>
      <c r="HV12" s="31"/>
      <c r="IA12" s="21"/>
      <c r="IC12" s="67"/>
      <c r="IF12" s="1" t="s">
        <v>145</v>
      </c>
      <c r="IX12" s="66"/>
    </row>
    <row r="13" spans="1:258" ht="25" customHeight="1">
      <c r="A13" s="31"/>
      <c r="B13" s="3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31"/>
      <c r="AN13" s="1" t="s">
        <v>144</v>
      </c>
      <c r="BC13" s="74"/>
      <c r="BX13" s="73"/>
      <c r="CK13" s="1" t="s">
        <v>143</v>
      </c>
      <c r="CO13" s="16"/>
      <c r="CP13" s="14"/>
      <c r="DN13" s="16"/>
      <c r="DO13" s="15"/>
      <c r="DP13" s="15"/>
      <c r="DQ13" s="15"/>
      <c r="DR13" s="15"/>
      <c r="DS13" s="14"/>
      <c r="DT13" s="1" t="s">
        <v>142</v>
      </c>
      <c r="EF13" s="1" t="s">
        <v>141</v>
      </c>
      <c r="FA13" s="10" t="s">
        <v>130</v>
      </c>
      <c r="FB13" s="10"/>
      <c r="FC13" s="10"/>
      <c r="FD13" s="1" t="s">
        <v>129</v>
      </c>
      <c r="FG13" s="1" t="s">
        <v>128</v>
      </c>
      <c r="HA13" s="31"/>
      <c r="HB13" s="31"/>
      <c r="HC13" s="31"/>
      <c r="HD13" s="31"/>
      <c r="HE13" s="31" t="s">
        <v>103</v>
      </c>
      <c r="HF13" s="31" t="s">
        <v>140</v>
      </c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IA13" s="21"/>
      <c r="IB13" s="75"/>
      <c r="IC13" s="67"/>
      <c r="IF13" s="1" t="s">
        <v>139</v>
      </c>
      <c r="IX13" s="66"/>
    </row>
    <row r="14" spans="1:258" ht="25" customHeight="1">
      <c r="A14" s="31"/>
      <c r="B14" s="31"/>
      <c r="D14" s="21"/>
      <c r="E14" s="21"/>
      <c r="F14" s="21"/>
      <c r="G14" s="21"/>
      <c r="H14" s="21"/>
      <c r="I14" s="21"/>
      <c r="J14" s="21"/>
      <c r="K14" s="21" t="s">
        <v>138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31"/>
      <c r="AJ14" s="1" t="s">
        <v>137</v>
      </c>
      <c r="AO14" s="16"/>
      <c r="AP14" s="15"/>
      <c r="AQ14" s="15"/>
      <c r="AR14" s="14"/>
      <c r="AS14" s="1" t="s">
        <v>136</v>
      </c>
      <c r="BC14" s="74"/>
      <c r="BH14" s="1" t="s">
        <v>135</v>
      </c>
      <c r="BX14" s="73"/>
      <c r="CK14" s="69" t="s">
        <v>134</v>
      </c>
      <c r="CL14" s="69"/>
      <c r="CM14" s="69"/>
      <c r="CN14" s="68"/>
      <c r="CO14" s="46"/>
      <c r="CP14" s="44"/>
      <c r="DF14" s="1" t="s">
        <v>133</v>
      </c>
      <c r="DH14" s="1" t="s">
        <v>132</v>
      </c>
      <c r="EF14" s="1" t="s">
        <v>131</v>
      </c>
      <c r="FH14" s="1" t="s">
        <v>118</v>
      </c>
      <c r="GA14" s="10" t="s">
        <v>130</v>
      </c>
      <c r="GB14" s="10"/>
      <c r="GC14" s="10"/>
      <c r="GD14" s="1" t="s">
        <v>129</v>
      </c>
      <c r="GG14" s="1" t="s">
        <v>128</v>
      </c>
      <c r="HA14" s="31"/>
      <c r="HB14" s="31"/>
      <c r="HC14" s="31"/>
      <c r="HD14" s="31"/>
      <c r="HE14" s="31"/>
      <c r="HF14" s="31" t="s">
        <v>127</v>
      </c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IA14" s="21"/>
      <c r="IB14" s="12"/>
      <c r="IC14" s="67"/>
      <c r="IE14" s="1" t="s">
        <v>126</v>
      </c>
      <c r="IX14" s="66"/>
    </row>
    <row r="15" spans="1:258" ht="25" customHeight="1">
      <c r="A15" s="31"/>
      <c r="B15" s="31"/>
      <c r="D15" s="21"/>
      <c r="E15" s="16"/>
      <c r="F15" s="15"/>
      <c r="G15" s="14"/>
      <c r="H15" s="21" t="s">
        <v>125</v>
      </c>
      <c r="I15" s="21"/>
      <c r="J15" s="16"/>
      <c r="K15" s="15"/>
      <c r="L15" s="14"/>
      <c r="M15" s="21" t="s">
        <v>124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31"/>
      <c r="AK15" s="1" t="s">
        <v>123</v>
      </c>
      <c r="BC15" s="72"/>
      <c r="BD15" s="71"/>
      <c r="BE15" s="71"/>
      <c r="BF15" s="71"/>
      <c r="BG15" s="71"/>
      <c r="BH15" s="71" t="s">
        <v>122</v>
      </c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0"/>
      <c r="CJ15" s="52"/>
      <c r="CK15" s="69"/>
      <c r="CL15" s="69"/>
      <c r="CM15" s="69"/>
      <c r="CN15" s="68"/>
      <c r="CO15" s="41"/>
      <c r="CP15" s="39"/>
      <c r="DF15" s="1" t="s">
        <v>121</v>
      </c>
      <c r="DH15" s="1" t="s">
        <v>120</v>
      </c>
      <c r="EF15" s="1" t="s">
        <v>119</v>
      </c>
      <c r="FH15" s="1" t="s">
        <v>111</v>
      </c>
      <c r="FV15" s="16"/>
      <c r="FW15" s="15"/>
      <c r="FX15" s="14"/>
      <c r="GH15" s="1" t="s">
        <v>118</v>
      </c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IA15" s="21"/>
      <c r="IB15" s="12"/>
      <c r="IC15" s="67"/>
      <c r="IF15" s="1" t="s">
        <v>117</v>
      </c>
      <c r="IX15" s="66"/>
    </row>
    <row r="16" spans="1:258" ht="25" customHeight="1">
      <c r="A16" s="31"/>
      <c r="B16" s="31"/>
      <c r="D16" s="21"/>
      <c r="E16" s="21"/>
      <c r="F16" s="21"/>
      <c r="G16" s="21"/>
      <c r="H16" s="21" t="s">
        <v>116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31"/>
      <c r="AE16" s="1" t="s">
        <v>115</v>
      </c>
      <c r="AH16" s="1" t="s">
        <v>114</v>
      </c>
      <c r="CI16" s="1" t="s">
        <v>113</v>
      </c>
      <c r="EG16" s="1" t="s">
        <v>57</v>
      </c>
      <c r="EJ16" s="1" t="s">
        <v>112</v>
      </c>
      <c r="FH16" s="1" t="s">
        <v>104</v>
      </c>
      <c r="GH16" s="1" t="s">
        <v>111</v>
      </c>
      <c r="GV16" s="16"/>
      <c r="GW16" s="15"/>
      <c r="GX16" s="14"/>
      <c r="HA16" s="31"/>
      <c r="HB16" s="31"/>
      <c r="HC16" s="31"/>
      <c r="HD16" s="31" t="s">
        <v>110</v>
      </c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IA16" s="21"/>
      <c r="IB16" s="12"/>
      <c r="IC16" s="65"/>
      <c r="ID16" s="4"/>
      <c r="IE16" s="4"/>
      <c r="IF16" s="4" t="s">
        <v>109</v>
      </c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64"/>
    </row>
    <row r="17" spans="1:258" ht="25" customHeight="1">
      <c r="A17" s="36"/>
      <c r="B17" s="36"/>
      <c r="C17" s="36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31"/>
      <c r="AJ17" s="1" t="str">
        <f>"={"</f>
        <v>={</v>
      </c>
      <c r="AK17" s="16"/>
      <c r="AL17" s="15"/>
      <c r="AM17" s="15"/>
      <c r="AN17" s="15"/>
      <c r="AO17" s="14"/>
      <c r="AP17" s="1" t="s">
        <v>20</v>
      </c>
      <c r="BD17" s="1" t="s">
        <v>108</v>
      </c>
      <c r="BM17" s="1" t="s">
        <v>107</v>
      </c>
      <c r="CE17" s="16"/>
      <c r="CF17" s="15"/>
      <c r="CG17" s="15"/>
      <c r="CH17" s="14"/>
      <c r="CI17" s="1" t="s">
        <v>106</v>
      </c>
      <c r="DE17" s="1" t="s">
        <v>105</v>
      </c>
      <c r="EJ17" s="46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4"/>
      <c r="FR17" s="1" t="s">
        <v>12</v>
      </c>
      <c r="FS17" s="1" t="s">
        <v>97</v>
      </c>
      <c r="GH17" s="1" t="s">
        <v>104</v>
      </c>
      <c r="HA17" s="31"/>
      <c r="HB17" s="31"/>
      <c r="HC17" s="31"/>
      <c r="HD17" s="31"/>
      <c r="HE17" s="31" t="s">
        <v>103</v>
      </c>
      <c r="HF17" s="31" t="s">
        <v>102</v>
      </c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IA17" s="21"/>
      <c r="IC17" s="63"/>
      <c r="ID17" s="29" t="s">
        <v>79</v>
      </c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62"/>
    </row>
    <row r="18" spans="1:258" ht="25" customHeight="1" thickBot="1">
      <c r="A18" s="31"/>
      <c r="B18" s="31"/>
      <c r="D18" s="21"/>
      <c r="E18" s="16"/>
      <c r="F18" s="15"/>
      <c r="G18" s="14"/>
      <c r="H18" s="21" t="s">
        <v>101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31"/>
      <c r="AI18" s="1" t="s">
        <v>100</v>
      </c>
      <c r="BE18" s="1" t="s">
        <v>81</v>
      </c>
      <c r="CI18" s="1" t="s">
        <v>33</v>
      </c>
      <c r="CJ18" s="1" t="s">
        <v>99</v>
      </c>
      <c r="DT18" s="1" t="s">
        <v>98</v>
      </c>
      <c r="EJ18" s="41"/>
      <c r="EK18" s="40"/>
      <c r="EL18" s="40"/>
      <c r="EM18" s="40"/>
      <c r="EN18" s="40"/>
      <c r="EO18" s="40"/>
      <c r="EP18" s="40"/>
      <c r="EQ18" s="40"/>
      <c r="ER18" s="40"/>
      <c r="ES18" s="40"/>
      <c r="ET18" s="40"/>
      <c r="EU18" s="40"/>
      <c r="EV18" s="40"/>
      <c r="EW18" s="40"/>
      <c r="EX18" s="39"/>
      <c r="FC18" s="55" t="s">
        <v>79</v>
      </c>
      <c r="FD18" s="55"/>
      <c r="FE18" s="55"/>
      <c r="FF18" s="55"/>
      <c r="FG18" s="55" t="s">
        <v>78</v>
      </c>
      <c r="FH18" s="55"/>
      <c r="FI18" s="55"/>
      <c r="FJ18" s="55"/>
      <c r="FK18" s="55"/>
      <c r="FL18" s="55"/>
      <c r="FM18" s="35" t="s">
        <v>77</v>
      </c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GR18" s="1" t="s">
        <v>12</v>
      </c>
      <c r="GS18" s="1" t="s">
        <v>97</v>
      </c>
      <c r="IA18" s="21"/>
      <c r="IC18" s="61"/>
      <c r="ID18" s="60"/>
      <c r="IE18" s="60" t="s">
        <v>96</v>
      </c>
      <c r="IF18" s="60"/>
      <c r="IG18" s="60"/>
      <c r="IH18" s="60"/>
      <c r="II18" s="60"/>
      <c r="IJ18" s="60"/>
      <c r="IK18" s="60"/>
      <c r="IL18" s="60"/>
      <c r="IM18" s="60"/>
      <c r="IN18" s="60"/>
      <c r="IO18" s="60"/>
      <c r="IP18" s="60"/>
      <c r="IQ18" s="60"/>
      <c r="IR18" s="60"/>
      <c r="IS18" s="60"/>
      <c r="IT18" s="60"/>
      <c r="IU18" s="60"/>
      <c r="IV18" s="60"/>
      <c r="IW18" s="60"/>
      <c r="IX18" s="59"/>
    </row>
    <row r="19" spans="1:258" ht="25" customHeight="1">
      <c r="A19" s="31"/>
      <c r="B19" s="31"/>
      <c r="D19" s="21"/>
      <c r="E19" s="21"/>
      <c r="F19" s="21"/>
      <c r="G19" s="21"/>
      <c r="H19" s="21" t="s">
        <v>95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31"/>
      <c r="AI19" s="1" t="s">
        <v>94</v>
      </c>
      <c r="AW19" s="1" t="s">
        <v>93</v>
      </c>
      <c r="BG19" s="1" t="s">
        <v>92</v>
      </c>
      <c r="CB19" s="1" t="s">
        <v>91</v>
      </c>
      <c r="CE19" s="16"/>
      <c r="CF19" s="15"/>
      <c r="CG19" s="15"/>
      <c r="CH19" s="14"/>
      <c r="CI19" s="1" t="s">
        <v>90</v>
      </c>
      <c r="EK19" s="1" t="s">
        <v>89</v>
      </c>
      <c r="EN19" s="1" t="s">
        <v>88</v>
      </c>
      <c r="FC19" s="51" t="s">
        <v>72</v>
      </c>
      <c r="FD19" s="51"/>
      <c r="FE19" s="51"/>
      <c r="FF19" s="51"/>
      <c r="FG19" s="51" t="s">
        <v>71</v>
      </c>
      <c r="FH19" s="51"/>
      <c r="FI19" s="51" t="s">
        <v>70</v>
      </c>
      <c r="FJ19" s="51"/>
      <c r="FK19" s="51" t="s">
        <v>69</v>
      </c>
      <c r="FL19" s="51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HA19" s="31"/>
      <c r="HB19" s="34" t="s">
        <v>87</v>
      </c>
      <c r="HC19" s="34"/>
      <c r="HD19" s="34"/>
      <c r="HE19" s="34" t="s">
        <v>86</v>
      </c>
      <c r="HF19" s="34"/>
      <c r="HG19" s="34"/>
      <c r="HH19" s="34" t="s">
        <v>85</v>
      </c>
      <c r="HI19" s="34"/>
      <c r="HJ19" s="34"/>
      <c r="HK19" s="34" t="s">
        <v>79</v>
      </c>
      <c r="HL19" s="34"/>
      <c r="HM19" s="34"/>
      <c r="HN19" s="34" t="s">
        <v>77</v>
      </c>
      <c r="HO19" s="34"/>
      <c r="HP19" s="34"/>
      <c r="HQ19" s="31"/>
      <c r="HR19" s="31" t="s">
        <v>84</v>
      </c>
      <c r="HS19" s="31"/>
      <c r="HT19" s="31"/>
      <c r="HU19" s="31"/>
      <c r="HV19" s="31"/>
      <c r="HW19" s="31"/>
      <c r="HX19" s="31"/>
      <c r="HY19" s="31"/>
      <c r="IA19" s="21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</row>
    <row r="20" spans="1:258" ht="25" customHeight="1">
      <c r="A20" s="31"/>
      <c r="B20" s="31"/>
      <c r="D20" s="21"/>
      <c r="E20" s="16"/>
      <c r="F20" s="15"/>
      <c r="G20" s="14"/>
      <c r="H20" s="21" t="s">
        <v>83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58"/>
      <c r="Z20" s="53"/>
      <c r="AA20" s="52"/>
      <c r="AB20" s="52"/>
      <c r="AE20" s="1" t="s">
        <v>25</v>
      </c>
      <c r="AJ20" s="1" t="str">
        <f>"={"</f>
        <v>={</v>
      </c>
      <c r="AK20" s="16"/>
      <c r="AL20" s="15"/>
      <c r="AM20" s="15"/>
      <c r="AN20" s="15"/>
      <c r="AO20" s="14"/>
      <c r="AP20" s="1" t="s">
        <v>20</v>
      </c>
      <c r="AY20" s="52"/>
      <c r="AZ20" s="52"/>
      <c r="BA20" s="52"/>
      <c r="BB20" s="52"/>
      <c r="BE20" s="1" t="s">
        <v>80</v>
      </c>
      <c r="BY20" s="52"/>
      <c r="BZ20" s="52"/>
      <c r="CA20" s="52"/>
      <c r="CB20" s="52"/>
      <c r="CJ20" s="1" t="s">
        <v>82</v>
      </c>
      <c r="CY20" s="52"/>
      <c r="CZ20" s="52"/>
      <c r="DA20" s="52"/>
      <c r="DB20" s="52"/>
      <c r="DG20" s="57" t="s">
        <v>81</v>
      </c>
      <c r="DN20" s="56" t="s">
        <v>80</v>
      </c>
      <c r="DY20" s="52"/>
      <c r="DZ20" s="52"/>
      <c r="EA20" s="52"/>
      <c r="EB20" s="52"/>
      <c r="EO20" s="1" t="s">
        <v>62</v>
      </c>
      <c r="EY20" s="52"/>
      <c r="EZ20" s="52"/>
      <c r="FA20" s="52"/>
      <c r="FB20" s="52"/>
      <c r="FC20" s="35">
        <v>3</v>
      </c>
      <c r="FD20" s="35"/>
      <c r="FE20" s="35"/>
      <c r="FF20" s="35"/>
      <c r="FG20" s="35" t="s">
        <v>27</v>
      </c>
      <c r="FH20" s="35"/>
      <c r="FI20" s="35" t="s">
        <v>27</v>
      </c>
      <c r="FJ20" s="35"/>
      <c r="FK20" s="35" t="s">
        <v>27</v>
      </c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52"/>
      <c r="FZ20" s="52"/>
      <c r="GA20" s="52"/>
      <c r="GB20" s="52"/>
      <c r="GC20" s="55" t="s">
        <v>79</v>
      </c>
      <c r="GD20" s="55"/>
      <c r="GE20" s="55"/>
      <c r="GF20" s="55"/>
      <c r="GG20" s="55" t="s">
        <v>78</v>
      </c>
      <c r="GH20" s="55"/>
      <c r="GI20" s="55"/>
      <c r="GJ20" s="55"/>
      <c r="GK20" s="55"/>
      <c r="GL20" s="55"/>
      <c r="GM20" s="35" t="s">
        <v>77</v>
      </c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52"/>
      <c r="GZ20" s="52"/>
      <c r="HA20" s="53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4"/>
      <c r="HM20" s="54"/>
      <c r="HN20" s="54"/>
      <c r="HO20" s="54"/>
      <c r="HP20" s="54"/>
      <c r="HQ20" s="53"/>
      <c r="HR20" s="31" t="s">
        <v>76</v>
      </c>
      <c r="HS20" s="53"/>
      <c r="HT20" s="53"/>
      <c r="HU20" s="53"/>
      <c r="HV20" s="53"/>
      <c r="HW20" s="53"/>
      <c r="HX20" s="53"/>
      <c r="HY20" s="53"/>
      <c r="HZ20" s="52"/>
      <c r="IA20" s="21"/>
      <c r="IB20" s="12"/>
      <c r="IC20" s="30" t="s">
        <v>10</v>
      </c>
      <c r="ID20" s="29" t="s">
        <v>9</v>
      </c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  <c r="IX20" s="28"/>
    </row>
    <row r="21" spans="1:258" ht="25" customHeight="1" thickBot="1">
      <c r="A21" s="36"/>
      <c r="B21" s="36"/>
      <c r="C21" s="36"/>
      <c r="D21" s="21"/>
      <c r="E21" s="21"/>
      <c r="F21" s="21"/>
      <c r="G21" s="21"/>
      <c r="H21" s="21" t="s">
        <v>57</v>
      </c>
      <c r="I21" s="21"/>
      <c r="J21" s="16"/>
      <c r="K21" s="15"/>
      <c r="L21" s="14"/>
      <c r="M21" s="21" t="s">
        <v>56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31"/>
      <c r="AE21" s="1" t="s">
        <v>21</v>
      </c>
      <c r="AJ21" s="1" t="str">
        <f>"={"</f>
        <v>={</v>
      </c>
      <c r="AK21" s="16"/>
      <c r="AL21" s="15"/>
      <c r="AM21" s="15"/>
      <c r="AN21" s="15"/>
      <c r="AO21" s="14"/>
      <c r="AP21" s="1" t="s">
        <v>20</v>
      </c>
      <c r="AY21" s="42"/>
      <c r="AZ21" s="42"/>
      <c r="BG21" s="1" t="s">
        <v>75</v>
      </c>
      <c r="BY21" s="42"/>
      <c r="BZ21" s="42"/>
      <c r="CJ21" s="1" t="s">
        <v>74</v>
      </c>
      <c r="CY21" s="42"/>
      <c r="CZ21" s="42"/>
      <c r="DY21" s="42"/>
      <c r="DZ21" s="42"/>
      <c r="EO21" s="1" t="s">
        <v>73</v>
      </c>
      <c r="EY21" s="42"/>
      <c r="EZ21" s="42"/>
      <c r="FC21" s="35">
        <v>2</v>
      </c>
      <c r="FD21" s="35"/>
      <c r="FE21" s="35"/>
      <c r="FF21" s="35"/>
      <c r="FG21" s="35" t="s">
        <v>27</v>
      </c>
      <c r="FH21" s="35"/>
      <c r="FI21" s="35" t="s">
        <v>27</v>
      </c>
      <c r="FJ21" s="35"/>
      <c r="FK21" s="35" t="s">
        <v>23</v>
      </c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42"/>
      <c r="FZ21" s="42"/>
      <c r="GA21" s="42"/>
      <c r="GB21" s="42"/>
      <c r="GC21" s="51" t="s">
        <v>72</v>
      </c>
      <c r="GD21" s="51"/>
      <c r="GE21" s="51"/>
      <c r="GF21" s="51"/>
      <c r="GG21" s="51" t="s">
        <v>71</v>
      </c>
      <c r="GH21" s="51"/>
      <c r="GI21" s="51" t="s">
        <v>70</v>
      </c>
      <c r="GJ21" s="51"/>
      <c r="GK21" s="51" t="s">
        <v>69</v>
      </c>
      <c r="GL21" s="51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42"/>
      <c r="GZ21" s="42"/>
      <c r="HA21" s="43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43"/>
      <c r="HR21" s="43" t="s">
        <v>68</v>
      </c>
      <c r="HS21" s="43"/>
      <c r="HT21" s="43"/>
      <c r="HU21" s="43"/>
      <c r="HV21" s="43"/>
      <c r="HW21" s="43"/>
      <c r="HX21" s="43"/>
      <c r="HY21" s="43"/>
      <c r="HZ21" s="42"/>
      <c r="IA21" s="21"/>
      <c r="IB21" s="12"/>
      <c r="IC21" s="13"/>
      <c r="IX21" s="12"/>
    </row>
    <row r="22" spans="1:258" ht="25" customHeight="1" thickTop="1">
      <c r="A22" s="31"/>
      <c r="B22" s="3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31"/>
      <c r="AI22" s="1" t="s">
        <v>12</v>
      </c>
      <c r="AJ22" s="1" t="s">
        <v>67</v>
      </c>
      <c r="AY22" s="42"/>
      <c r="AZ22" s="42"/>
      <c r="BE22" s="1" t="s">
        <v>66</v>
      </c>
      <c r="BF22" s="1" t="s">
        <v>65</v>
      </c>
      <c r="BY22" s="42"/>
      <c r="BZ22" s="42"/>
      <c r="CI22" s="1" t="s">
        <v>64</v>
      </c>
      <c r="CY22" s="42"/>
      <c r="CZ22" s="42"/>
      <c r="DY22" s="42"/>
      <c r="DZ22" s="42"/>
      <c r="EG22" s="1" t="s">
        <v>63</v>
      </c>
      <c r="EJ22" s="1" t="s">
        <v>62</v>
      </c>
      <c r="EY22" s="42"/>
      <c r="EZ22" s="42"/>
      <c r="FC22" s="35"/>
      <c r="FD22" s="35"/>
      <c r="FE22" s="35"/>
      <c r="FF22" s="35"/>
      <c r="FG22" s="35" t="s">
        <v>27</v>
      </c>
      <c r="FH22" s="35"/>
      <c r="FI22" s="35" t="s">
        <v>23</v>
      </c>
      <c r="FJ22" s="35"/>
      <c r="FK22" s="35" t="s">
        <v>27</v>
      </c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42"/>
      <c r="FZ22" s="42"/>
      <c r="GA22" s="42"/>
      <c r="GB22" s="42"/>
      <c r="GC22" s="35">
        <v>3</v>
      </c>
      <c r="GD22" s="35"/>
      <c r="GE22" s="35"/>
      <c r="GF22" s="35"/>
      <c r="GG22" s="35" t="s">
        <v>27</v>
      </c>
      <c r="GH22" s="35"/>
      <c r="GI22" s="35" t="s">
        <v>27</v>
      </c>
      <c r="GJ22" s="35"/>
      <c r="GK22" s="35" t="s">
        <v>27</v>
      </c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42"/>
      <c r="GZ22" s="42"/>
      <c r="HA22" s="43"/>
      <c r="HB22" s="32">
        <v>0</v>
      </c>
      <c r="HC22" s="32"/>
      <c r="HD22" s="32"/>
      <c r="HE22" s="32">
        <v>2662</v>
      </c>
      <c r="HF22" s="32"/>
      <c r="HG22" s="32"/>
      <c r="HH22" s="49">
        <f>HE22/HE$30</f>
        <v>0.1331</v>
      </c>
      <c r="HI22" s="49"/>
      <c r="HJ22" s="49"/>
      <c r="HK22" s="32">
        <f>HB22</f>
        <v>0</v>
      </c>
      <c r="HL22" s="32"/>
      <c r="HM22" s="32"/>
      <c r="HN22" s="48">
        <f>HH22</f>
        <v>0.1331</v>
      </c>
      <c r="HO22" s="48"/>
      <c r="HP22" s="48"/>
      <c r="HQ22" s="43"/>
      <c r="HR22" s="43" t="s">
        <v>61</v>
      </c>
      <c r="HS22" s="43"/>
      <c r="HT22" s="43"/>
      <c r="HU22" s="43"/>
      <c r="HV22" s="43"/>
      <c r="HW22" s="43"/>
      <c r="HX22" s="43"/>
      <c r="HY22" s="43"/>
      <c r="HZ22" s="42"/>
      <c r="IA22" s="21"/>
      <c r="IB22" s="12"/>
      <c r="IC22" s="13"/>
      <c r="IX22" s="12"/>
    </row>
    <row r="23" spans="1:258" ht="25" customHeight="1">
      <c r="A23" s="1"/>
      <c r="B23" s="1"/>
      <c r="C23" s="1"/>
      <c r="D23" s="21"/>
      <c r="E23" s="16"/>
      <c r="F23" s="15"/>
      <c r="G23" s="14"/>
      <c r="H23" s="21" t="s">
        <v>60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31"/>
      <c r="AJ23" s="1" t="s">
        <v>22</v>
      </c>
      <c r="AO23" s="16"/>
      <c r="AP23" s="15"/>
      <c r="AQ23" s="15"/>
      <c r="AR23" s="15"/>
      <c r="AS23" s="15"/>
      <c r="AT23" s="15"/>
      <c r="AU23" s="14"/>
      <c r="BH23" s="1" t="s">
        <v>59</v>
      </c>
      <c r="CI23" s="1" t="s">
        <v>58</v>
      </c>
      <c r="EJ23" s="46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4"/>
      <c r="FC23" s="35"/>
      <c r="FD23" s="35"/>
      <c r="FE23" s="35"/>
      <c r="FF23" s="35"/>
      <c r="FG23" s="35" t="s">
        <v>23</v>
      </c>
      <c r="FH23" s="35"/>
      <c r="FI23" s="35" t="s">
        <v>27</v>
      </c>
      <c r="FJ23" s="35"/>
      <c r="FK23" s="35" t="s">
        <v>27</v>
      </c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GC23" s="35">
        <v>2</v>
      </c>
      <c r="GD23" s="35"/>
      <c r="GE23" s="35"/>
      <c r="GF23" s="35"/>
      <c r="GG23" s="35" t="s">
        <v>27</v>
      </c>
      <c r="GH23" s="35"/>
      <c r="GI23" s="35" t="s">
        <v>27</v>
      </c>
      <c r="GJ23" s="35"/>
      <c r="GK23" s="35" t="s">
        <v>23</v>
      </c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HA23" s="31"/>
      <c r="HB23" s="38">
        <v>1</v>
      </c>
      <c r="HC23" s="38"/>
      <c r="HD23" s="38"/>
      <c r="HE23" s="38">
        <v>5411</v>
      </c>
      <c r="HF23" s="38"/>
      <c r="HG23" s="38"/>
      <c r="HH23" s="37">
        <f>HE23/HE$30</f>
        <v>0.27055000000000001</v>
      </c>
      <c r="HI23" s="37"/>
      <c r="HJ23" s="37"/>
      <c r="HK23" s="38">
        <f>HB23</f>
        <v>1</v>
      </c>
      <c r="HL23" s="38"/>
      <c r="HM23" s="38"/>
      <c r="HN23" s="37">
        <f>HH23</f>
        <v>0.27055000000000001</v>
      </c>
      <c r="HO23" s="37"/>
      <c r="HP23" s="37"/>
      <c r="HQ23" s="31"/>
      <c r="HR23" s="31"/>
      <c r="HS23" s="31"/>
      <c r="HT23" s="31"/>
      <c r="HU23" s="31"/>
      <c r="HV23" s="31"/>
      <c r="HW23" s="31"/>
      <c r="HX23" s="31"/>
      <c r="HY23" s="31"/>
      <c r="IA23" s="21"/>
      <c r="IC23" s="13"/>
      <c r="IX23" s="12"/>
    </row>
    <row r="24" spans="1:258" ht="25" customHeight="1">
      <c r="D24" s="21"/>
      <c r="E24" s="21"/>
      <c r="F24" s="21"/>
      <c r="G24" s="21"/>
      <c r="H24" s="21" t="s">
        <v>57</v>
      </c>
      <c r="I24" s="21"/>
      <c r="J24" s="16"/>
      <c r="K24" s="15"/>
      <c r="L24" s="14"/>
      <c r="M24" s="21" t="s">
        <v>56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31"/>
      <c r="BE24" s="1" t="s">
        <v>55</v>
      </c>
      <c r="BQ24" s="16"/>
      <c r="BR24" s="15"/>
      <c r="BS24" s="15"/>
      <c r="BT24" s="15"/>
      <c r="BU24" s="15"/>
      <c r="BV24" s="14"/>
      <c r="CJ24" s="1" t="s">
        <v>54</v>
      </c>
      <c r="DG24" s="1" t="s">
        <v>53</v>
      </c>
      <c r="EJ24" s="41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39"/>
      <c r="FC24" s="35">
        <v>1</v>
      </c>
      <c r="FD24" s="35"/>
      <c r="FE24" s="35"/>
      <c r="FF24" s="35"/>
      <c r="FG24" s="35" t="s">
        <v>27</v>
      </c>
      <c r="FH24" s="35"/>
      <c r="FI24" s="35" t="s">
        <v>23</v>
      </c>
      <c r="FJ24" s="35"/>
      <c r="FK24" s="35" t="s">
        <v>23</v>
      </c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GC24" s="35"/>
      <c r="GD24" s="35"/>
      <c r="GE24" s="35"/>
      <c r="GF24" s="35"/>
      <c r="GG24" s="35" t="s">
        <v>27</v>
      </c>
      <c r="GH24" s="35"/>
      <c r="GI24" s="35" t="s">
        <v>23</v>
      </c>
      <c r="GJ24" s="35"/>
      <c r="GK24" s="35" t="s">
        <v>27</v>
      </c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HA24" s="31"/>
      <c r="HB24" s="38">
        <v>2</v>
      </c>
      <c r="HC24" s="38"/>
      <c r="HD24" s="38"/>
      <c r="HE24" s="38">
        <v>5461</v>
      </c>
      <c r="HF24" s="38"/>
      <c r="HG24" s="38"/>
      <c r="HH24" s="37">
        <f>HE24/HE$30</f>
        <v>0.27305000000000001</v>
      </c>
      <c r="HI24" s="37"/>
      <c r="HJ24" s="37"/>
      <c r="HK24" s="38">
        <f>HB24</f>
        <v>2</v>
      </c>
      <c r="HL24" s="38"/>
      <c r="HM24" s="38"/>
      <c r="HN24" s="37">
        <f>HH24</f>
        <v>0.27305000000000001</v>
      </c>
      <c r="HO24" s="37"/>
      <c r="HP24" s="37"/>
      <c r="HQ24" s="31"/>
      <c r="HR24" s="31" t="s">
        <v>52</v>
      </c>
      <c r="HS24" s="31"/>
      <c r="HT24" s="31"/>
      <c r="HU24" s="31"/>
      <c r="HV24" s="31"/>
      <c r="HW24" s="31"/>
      <c r="HX24" s="31"/>
      <c r="HY24" s="31"/>
      <c r="IA24" s="21"/>
      <c r="IC24" s="13"/>
      <c r="IX24" s="12"/>
    </row>
    <row r="25" spans="1:258" ht="25" customHeight="1"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AA25" s="10" t="s">
        <v>51</v>
      </c>
      <c r="AB25" s="10"/>
      <c r="AC25" s="10"/>
      <c r="AD25" s="1" t="s">
        <v>50</v>
      </c>
      <c r="AG25" s="1" t="s">
        <v>49</v>
      </c>
      <c r="AY25" s="42"/>
      <c r="AZ25" s="42"/>
      <c r="BG25" s="1" t="s">
        <v>48</v>
      </c>
      <c r="BY25" s="42"/>
      <c r="BZ25" s="42"/>
      <c r="CC25" s="30" t="s">
        <v>10</v>
      </c>
      <c r="CD25" s="29" t="s">
        <v>47</v>
      </c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8"/>
      <c r="CY25" s="42"/>
      <c r="CZ25" s="42"/>
      <c r="DY25" s="42"/>
      <c r="DZ25" s="42"/>
      <c r="EG25" s="1" t="s">
        <v>46</v>
      </c>
      <c r="EY25" s="42"/>
      <c r="EZ25" s="42"/>
      <c r="FC25" s="35"/>
      <c r="FD25" s="35"/>
      <c r="FE25" s="35"/>
      <c r="FF25" s="35"/>
      <c r="FG25" s="35" t="s">
        <v>23</v>
      </c>
      <c r="FH25" s="35"/>
      <c r="FI25" s="35" t="s">
        <v>27</v>
      </c>
      <c r="FJ25" s="35"/>
      <c r="FK25" s="35" t="s">
        <v>23</v>
      </c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42"/>
      <c r="FZ25" s="42"/>
      <c r="GA25" s="42"/>
      <c r="GB25" s="42"/>
      <c r="GC25" s="35"/>
      <c r="GD25" s="35"/>
      <c r="GE25" s="35"/>
      <c r="GF25" s="35"/>
      <c r="GG25" s="35" t="s">
        <v>23</v>
      </c>
      <c r="GH25" s="35"/>
      <c r="GI25" s="35" t="s">
        <v>27</v>
      </c>
      <c r="GJ25" s="35"/>
      <c r="GK25" s="35" t="s">
        <v>27</v>
      </c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42"/>
      <c r="GZ25" s="42"/>
      <c r="HA25" s="43"/>
      <c r="HB25" s="38">
        <v>3</v>
      </c>
      <c r="HC25" s="38"/>
      <c r="HD25" s="38"/>
      <c r="HE25" s="38">
        <v>3589</v>
      </c>
      <c r="HF25" s="38"/>
      <c r="HG25" s="38"/>
      <c r="HH25" s="37">
        <f>HE25/HE$30</f>
        <v>0.17945</v>
      </c>
      <c r="HI25" s="37"/>
      <c r="HJ25" s="37"/>
      <c r="HK25" s="38">
        <f>HB25</f>
        <v>3</v>
      </c>
      <c r="HL25" s="38"/>
      <c r="HM25" s="38"/>
      <c r="HN25" s="37">
        <f>HH25</f>
        <v>0.17945</v>
      </c>
      <c r="HO25" s="37"/>
      <c r="HP25" s="37"/>
      <c r="HQ25" s="43"/>
      <c r="HR25" s="43" t="s">
        <v>45</v>
      </c>
      <c r="HS25" s="43"/>
      <c r="HT25" s="43"/>
      <c r="HU25" s="43"/>
      <c r="HV25" s="43"/>
      <c r="HW25" s="43"/>
      <c r="HX25" s="43"/>
      <c r="HY25" s="43"/>
      <c r="HZ25" s="42"/>
      <c r="IA25" s="21"/>
      <c r="IC25" s="47"/>
      <c r="IX25" s="12"/>
    </row>
    <row r="26" spans="1:258" ht="25" customHeight="1">
      <c r="D26" s="21"/>
      <c r="E26" s="16"/>
      <c r="F26" s="15"/>
      <c r="G26" s="14"/>
      <c r="H26" s="21" t="s">
        <v>44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AE26" s="1" t="s">
        <v>43</v>
      </c>
      <c r="AU26" s="1" t="s">
        <v>42</v>
      </c>
      <c r="AY26" s="42"/>
      <c r="AZ26" s="42"/>
      <c r="BG26" s="1" t="s">
        <v>41</v>
      </c>
      <c r="BY26" s="42"/>
      <c r="BZ26" s="42"/>
      <c r="CC26" s="13"/>
      <c r="CX26" s="12"/>
      <c r="CY26" s="42"/>
      <c r="CZ26" s="42"/>
      <c r="DA26" s="10" t="s">
        <v>40</v>
      </c>
      <c r="DB26" s="10"/>
      <c r="DC26" s="10"/>
      <c r="DD26" s="1" t="s">
        <v>39</v>
      </c>
      <c r="DY26" s="42"/>
      <c r="DZ26" s="42"/>
      <c r="EJ26" s="46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4"/>
      <c r="EY26" s="42"/>
      <c r="EZ26" s="42"/>
      <c r="FC26" s="35"/>
      <c r="FD26" s="35"/>
      <c r="FE26" s="35"/>
      <c r="FF26" s="35"/>
      <c r="FG26" s="35" t="s">
        <v>23</v>
      </c>
      <c r="FH26" s="35"/>
      <c r="FI26" s="35" t="s">
        <v>23</v>
      </c>
      <c r="FJ26" s="35"/>
      <c r="FK26" s="35" t="s">
        <v>27</v>
      </c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42"/>
      <c r="FZ26" s="42"/>
      <c r="GA26" s="42"/>
      <c r="GB26" s="42"/>
      <c r="GC26" s="35">
        <v>1</v>
      </c>
      <c r="GD26" s="35"/>
      <c r="GE26" s="35"/>
      <c r="GF26" s="35"/>
      <c r="GG26" s="35" t="s">
        <v>27</v>
      </c>
      <c r="GH26" s="35"/>
      <c r="GI26" s="35" t="s">
        <v>23</v>
      </c>
      <c r="GJ26" s="35"/>
      <c r="GK26" s="35" t="s">
        <v>23</v>
      </c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42"/>
      <c r="GZ26" s="42"/>
      <c r="HA26" s="43"/>
      <c r="HB26" s="38">
        <v>4</v>
      </c>
      <c r="HC26" s="38"/>
      <c r="HD26" s="38"/>
      <c r="HE26" s="38">
        <v>1836</v>
      </c>
      <c r="HF26" s="38"/>
      <c r="HG26" s="38"/>
      <c r="HH26" s="37">
        <f>HE26/HE$30</f>
        <v>9.1800000000000007E-2</v>
      </c>
      <c r="HI26" s="37"/>
      <c r="HJ26" s="37"/>
      <c r="HK26" s="38">
        <f>HB26</f>
        <v>4</v>
      </c>
      <c r="HL26" s="38"/>
      <c r="HM26" s="38"/>
      <c r="HN26" s="37">
        <f>HH26</f>
        <v>9.1800000000000007E-2</v>
      </c>
      <c r="HO26" s="37"/>
      <c r="HP26" s="37"/>
      <c r="HQ26" s="43"/>
      <c r="HR26" s="43" t="s">
        <v>38</v>
      </c>
      <c r="HS26" s="43"/>
      <c r="HT26" s="43"/>
      <c r="HU26" s="43"/>
      <c r="HV26" s="43"/>
      <c r="HW26" s="43"/>
      <c r="HX26" s="43"/>
      <c r="HY26" s="43"/>
      <c r="HZ26" s="42"/>
      <c r="IA26" s="21"/>
      <c r="IC26" s="13"/>
      <c r="IX26" s="12"/>
    </row>
    <row r="27" spans="1:258" ht="25" customHeight="1"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AE27" s="1" t="s">
        <v>37</v>
      </c>
      <c r="CC27" s="13"/>
      <c r="CD27" s="16"/>
      <c r="CE27" s="15"/>
      <c r="CF27" s="14"/>
      <c r="CG27" s="1" t="s">
        <v>36</v>
      </c>
      <c r="CX27" s="12"/>
      <c r="DE27" s="16"/>
      <c r="DF27" s="15"/>
      <c r="DG27" s="15"/>
      <c r="DH27" s="15"/>
      <c r="DI27" s="14"/>
      <c r="DJ27" s="1" t="s">
        <v>35</v>
      </c>
      <c r="EJ27" s="41"/>
      <c r="EK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EX27" s="39"/>
      <c r="FC27" s="35">
        <v>0</v>
      </c>
      <c r="FD27" s="35"/>
      <c r="FE27" s="35"/>
      <c r="FF27" s="35"/>
      <c r="FG27" s="35" t="s">
        <v>23</v>
      </c>
      <c r="FH27" s="35"/>
      <c r="FI27" s="35" t="s">
        <v>23</v>
      </c>
      <c r="FJ27" s="35"/>
      <c r="FK27" s="35" t="s">
        <v>23</v>
      </c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GC27" s="35"/>
      <c r="GD27" s="35"/>
      <c r="GE27" s="35"/>
      <c r="GF27" s="35"/>
      <c r="GG27" s="35" t="s">
        <v>23</v>
      </c>
      <c r="GH27" s="35"/>
      <c r="GI27" s="35" t="s">
        <v>27</v>
      </c>
      <c r="GJ27" s="35"/>
      <c r="GK27" s="35" t="s">
        <v>23</v>
      </c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HA27" s="31"/>
      <c r="HB27" s="38">
        <v>5</v>
      </c>
      <c r="HC27" s="38"/>
      <c r="HD27" s="38"/>
      <c r="HE27" s="38">
        <v>713</v>
      </c>
      <c r="HF27" s="38"/>
      <c r="HG27" s="38"/>
      <c r="HH27" s="37">
        <f>HE27/HE$30</f>
        <v>3.5650000000000001E-2</v>
      </c>
      <c r="HI27" s="37"/>
      <c r="HJ27" s="37"/>
      <c r="HK27" s="38">
        <f>HB27</f>
        <v>5</v>
      </c>
      <c r="HL27" s="38"/>
      <c r="HM27" s="38"/>
      <c r="HN27" s="37">
        <f>HH27</f>
        <v>3.5650000000000001E-2</v>
      </c>
      <c r="HO27" s="37"/>
      <c r="HP27" s="37"/>
      <c r="HQ27" s="31"/>
      <c r="HR27" s="31" t="s">
        <v>34</v>
      </c>
      <c r="HS27" s="31"/>
      <c r="HT27" s="31"/>
      <c r="HU27" s="31"/>
      <c r="HV27" s="31"/>
      <c r="HW27" s="31"/>
      <c r="HX27" s="31"/>
      <c r="HY27" s="31"/>
      <c r="IA27" s="21"/>
      <c r="IC27" s="13"/>
      <c r="IX27" s="12"/>
    </row>
    <row r="28" spans="1:258" ht="25" customHeight="1">
      <c r="D28" s="21"/>
      <c r="E28" s="21"/>
      <c r="F28" s="21" t="s">
        <v>33</v>
      </c>
      <c r="G28" s="21" t="s">
        <v>32</v>
      </c>
      <c r="H28" s="21" t="s">
        <v>31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AE28" s="1" t="s">
        <v>30</v>
      </c>
      <c r="CC28" s="13"/>
      <c r="CG28" s="1" t="s">
        <v>29</v>
      </c>
      <c r="CX28" s="12"/>
      <c r="DN28" s="1" t="s">
        <v>28</v>
      </c>
      <c r="FH28" s="1" t="s">
        <v>12</v>
      </c>
      <c r="FI28" s="1" t="s">
        <v>17</v>
      </c>
      <c r="GC28" s="35"/>
      <c r="GD28" s="35"/>
      <c r="GE28" s="35"/>
      <c r="GF28" s="35"/>
      <c r="GG28" s="35" t="s">
        <v>23</v>
      </c>
      <c r="GH28" s="35"/>
      <c r="GI28" s="35" t="s">
        <v>23</v>
      </c>
      <c r="GJ28" s="35"/>
      <c r="GK28" s="35" t="s">
        <v>27</v>
      </c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HA28" s="31"/>
      <c r="HB28" s="38">
        <v>6</v>
      </c>
      <c r="HC28" s="38"/>
      <c r="HD28" s="38"/>
      <c r="HE28" s="38">
        <v>232</v>
      </c>
      <c r="HF28" s="38"/>
      <c r="HG28" s="38"/>
      <c r="HH28" s="37">
        <f>HE28/HE$30</f>
        <v>1.1599999999999999E-2</v>
      </c>
      <c r="HI28" s="37"/>
      <c r="HJ28" s="37"/>
      <c r="HK28" s="38">
        <f>HB28</f>
        <v>6</v>
      </c>
      <c r="HL28" s="38"/>
      <c r="HM28" s="38"/>
      <c r="HN28" s="37">
        <f>HH28</f>
        <v>1.1599999999999999E-2</v>
      </c>
      <c r="HO28" s="37"/>
      <c r="HP28" s="37"/>
      <c r="HQ28" s="31"/>
      <c r="HR28" s="31"/>
      <c r="HS28" s="31"/>
      <c r="HT28" s="31"/>
      <c r="HU28" s="31"/>
      <c r="HV28" s="31"/>
      <c r="HW28" s="31"/>
      <c r="HX28" s="31"/>
      <c r="HY28" s="31"/>
      <c r="IA28" s="21"/>
      <c r="IC28" s="13"/>
      <c r="IX28" s="12"/>
    </row>
    <row r="29" spans="1:258" ht="25" customHeight="1" thickBot="1">
      <c r="A29" s="36"/>
      <c r="B29" s="36"/>
      <c r="C29" s="36"/>
      <c r="D29" s="21"/>
      <c r="E29" s="21"/>
      <c r="F29" s="21"/>
      <c r="G29" s="21"/>
      <c r="H29" s="21" t="s">
        <v>26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AE29" s="1" t="str">
        <f>"(1)"</f>
        <v>(1)</v>
      </c>
      <c r="AG29" s="1" t="s">
        <v>25</v>
      </c>
      <c r="AL29" s="1" t="str">
        <f>"={"</f>
        <v>={</v>
      </c>
      <c r="AM29" s="16"/>
      <c r="AN29" s="15"/>
      <c r="AO29" s="15"/>
      <c r="AP29" s="15"/>
      <c r="AQ29" s="14"/>
      <c r="AR29" s="1" t="s">
        <v>20</v>
      </c>
      <c r="BC29" s="30" t="s">
        <v>10</v>
      </c>
      <c r="BD29" s="29" t="s">
        <v>9</v>
      </c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8"/>
      <c r="CC29" s="13"/>
      <c r="CG29" s="1" t="s">
        <v>24</v>
      </c>
      <c r="CX29" s="12"/>
      <c r="EC29" s="30" t="s">
        <v>10</v>
      </c>
      <c r="ED29" s="29" t="s">
        <v>9</v>
      </c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8"/>
      <c r="FH29" s="1" t="s">
        <v>12</v>
      </c>
      <c r="FI29" s="1" t="s">
        <v>11</v>
      </c>
      <c r="GC29" s="35">
        <v>0</v>
      </c>
      <c r="GD29" s="35"/>
      <c r="GE29" s="35"/>
      <c r="GF29" s="35"/>
      <c r="GG29" s="35" t="s">
        <v>23</v>
      </c>
      <c r="GH29" s="35"/>
      <c r="GI29" s="35" t="s">
        <v>23</v>
      </c>
      <c r="GJ29" s="35"/>
      <c r="GK29" s="35" t="s">
        <v>23</v>
      </c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HA29" s="31"/>
      <c r="HB29" s="34">
        <v>7</v>
      </c>
      <c r="HC29" s="34"/>
      <c r="HD29" s="34"/>
      <c r="HE29" s="34">
        <v>96</v>
      </c>
      <c r="HF29" s="34"/>
      <c r="HG29" s="34"/>
      <c r="HH29" s="33">
        <f>HE29/HE$30</f>
        <v>4.7999999999999996E-3</v>
      </c>
      <c r="HI29" s="33"/>
      <c r="HJ29" s="33"/>
      <c r="HK29" s="34">
        <f>HB29</f>
        <v>7</v>
      </c>
      <c r="HL29" s="34"/>
      <c r="HM29" s="34"/>
      <c r="HN29" s="33">
        <f>HH29</f>
        <v>4.7999999999999996E-3</v>
      </c>
      <c r="HO29" s="33"/>
      <c r="HP29" s="33"/>
      <c r="HQ29" s="31"/>
      <c r="HR29" s="31"/>
      <c r="HS29" s="31"/>
      <c r="HT29" s="31"/>
      <c r="HU29" s="31"/>
      <c r="HV29" s="31"/>
      <c r="HW29" s="31"/>
      <c r="HX29" s="31"/>
      <c r="HY29" s="31"/>
      <c r="IA29" s="21"/>
      <c r="IC29" s="13"/>
      <c r="IX29" s="12"/>
    </row>
    <row r="30" spans="1:258" ht="25" customHeight="1" thickTop="1">
      <c r="D30" s="21"/>
      <c r="E30" s="21"/>
      <c r="F30" s="21"/>
      <c r="G30" s="21"/>
      <c r="H30" s="21" t="s">
        <v>22</v>
      </c>
      <c r="I30" s="21"/>
      <c r="J30" s="21"/>
      <c r="K30" s="21"/>
      <c r="L30" s="21"/>
      <c r="M30" s="16"/>
      <c r="N30" s="15"/>
      <c r="O30" s="15"/>
      <c r="P30" s="15"/>
      <c r="Q30" s="15"/>
      <c r="R30" s="14"/>
      <c r="S30" s="21"/>
      <c r="T30" s="21"/>
      <c r="U30" s="21"/>
      <c r="V30" s="21"/>
      <c r="W30" s="21"/>
      <c r="X30" s="21"/>
      <c r="Y30" s="21"/>
      <c r="AG30" s="1" t="s">
        <v>21</v>
      </c>
      <c r="AL30" s="1" t="str">
        <f>"={"</f>
        <v>={</v>
      </c>
      <c r="AM30" s="16"/>
      <c r="AN30" s="15"/>
      <c r="AO30" s="15"/>
      <c r="AP30" s="15"/>
      <c r="AQ30" s="14"/>
      <c r="AR30" s="1" t="s">
        <v>20</v>
      </c>
      <c r="BC30" s="13"/>
      <c r="BX30" s="12"/>
      <c r="CC30" s="13"/>
      <c r="CD30" s="16"/>
      <c r="CE30" s="15"/>
      <c r="CF30" s="14"/>
      <c r="CG30" s="1" t="s">
        <v>19</v>
      </c>
      <c r="CX30" s="12"/>
      <c r="DF30" s="16"/>
      <c r="DG30" s="15"/>
      <c r="DH30" s="15"/>
      <c r="DI30" s="15"/>
      <c r="DJ30" s="15"/>
      <c r="DK30" s="15"/>
      <c r="DL30" s="15"/>
      <c r="DM30" s="15"/>
      <c r="DN30" s="14"/>
      <c r="DO30" s="1" t="s">
        <v>18</v>
      </c>
      <c r="EC30" s="13"/>
      <c r="EX30" s="12"/>
      <c r="GH30" s="1" t="s">
        <v>12</v>
      </c>
      <c r="GI30" s="1" t="s">
        <v>17</v>
      </c>
      <c r="HA30" s="31"/>
      <c r="HB30" s="32" t="s">
        <v>16</v>
      </c>
      <c r="HC30" s="32"/>
      <c r="HD30" s="32"/>
      <c r="HE30" s="32">
        <f>SUM(HE22:HG29)</f>
        <v>20000</v>
      </c>
      <c r="HF30" s="32"/>
      <c r="HG30" s="32"/>
      <c r="HH30" s="32">
        <f>SUM(HH22:HJ29)</f>
        <v>1</v>
      </c>
      <c r="HI30" s="32"/>
      <c r="HJ30" s="32"/>
      <c r="HK30" s="32" t="s">
        <v>16</v>
      </c>
      <c r="HL30" s="32"/>
      <c r="HM30" s="32"/>
      <c r="HN30" s="32">
        <f>HH30</f>
        <v>1</v>
      </c>
      <c r="HO30" s="32"/>
      <c r="HP30" s="32"/>
      <c r="HQ30" s="31"/>
      <c r="HR30" s="31"/>
      <c r="HS30" s="31"/>
      <c r="HT30" s="31"/>
      <c r="HU30" s="31"/>
      <c r="HV30" s="31"/>
      <c r="HW30" s="31"/>
      <c r="HX30" s="31"/>
      <c r="HY30" s="31"/>
      <c r="IA30" s="21"/>
      <c r="IC30" s="13"/>
      <c r="IX30" s="12"/>
    </row>
    <row r="31" spans="1:258" ht="25" customHeight="1">
      <c r="AE31" s="1" t="str">
        <f>"(2)"</f>
        <v>(2)</v>
      </c>
      <c r="AG31" s="1" t="s">
        <v>15</v>
      </c>
      <c r="BC31" s="13"/>
      <c r="BX31" s="12"/>
      <c r="CC31" s="13"/>
      <c r="CG31" s="1" t="s">
        <v>14</v>
      </c>
      <c r="CX31" s="12"/>
      <c r="DP31" s="1" t="s">
        <v>13</v>
      </c>
      <c r="EC31" s="13"/>
      <c r="EX31" s="12"/>
      <c r="GH31" s="1" t="s">
        <v>12</v>
      </c>
      <c r="GI31" s="1" t="s">
        <v>11</v>
      </c>
      <c r="HA31" s="31"/>
      <c r="HB31" s="31"/>
      <c r="HC31" s="31"/>
      <c r="HD31" s="31"/>
      <c r="HE31" s="31"/>
      <c r="HF31" s="31"/>
      <c r="HG31" s="31"/>
      <c r="HH31" s="31"/>
      <c r="HI31" s="31"/>
      <c r="HJ31" s="31"/>
      <c r="HK31" s="31"/>
      <c r="HL31" s="31"/>
      <c r="HM31" s="31"/>
      <c r="HN31" s="31"/>
      <c r="HO31" s="31"/>
      <c r="HP31" s="31"/>
      <c r="HQ31" s="31"/>
      <c r="HR31" s="31"/>
      <c r="HS31" s="31"/>
      <c r="HT31" s="31"/>
      <c r="HU31" s="31"/>
      <c r="HV31" s="31"/>
      <c r="HW31" s="31"/>
      <c r="HX31" s="31"/>
      <c r="HY31" s="31"/>
      <c r="IA31" s="21"/>
      <c r="IC31" s="5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3"/>
    </row>
    <row r="32" spans="1:258" ht="25" customHeight="1">
      <c r="C32" s="30" t="s">
        <v>10</v>
      </c>
      <c r="D32" s="29" t="s">
        <v>9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8"/>
      <c r="AG32" s="27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5"/>
      <c r="BC32" s="13"/>
      <c r="BX32" s="12"/>
      <c r="CC32" s="13"/>
      <c r="CD32" s="16"/>
      <c r="CE32" s="15"/>
      <c r="CF32" s="14"/>
      <c r="CG32" s="1" t="s">
        <v>8</v>
      </c>
      <c r="CX32" s="12"/>
      <c r="DQ32" s="1" t="s">
        <v>7</v>
      </c>
      <c r="EC32" s="13"/>
      <c r="EX32" s="12"/>
      <c r="IA32" s="21"/>
    </row>
    <row r="33" spans="3:235" ht="25" customHeight="1"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2"/>
      <c r="AG33" s="24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2"/>
      <c r="BC33" s="13"/>
      <c r="BX33" s="12"/>
      <c r="CC33" s="13"/>
      <c r="CG33" s="1" t="s">
        <v>6</v>
      </c>
      <c r="CX33" s="12"/>
      <c r="DN33" s="1" t="s">
        <v>5</v>
      </c>
      <c r="EC33" s="13"/>
      <c r="EX33" s="12"/>
      <c r="GA33" s="10" t="s">
        <v>4</v>
      </c>
      <c r="GB33" s="10"/>
      <c r="GC33" s="10"/>
      <c r="GD33" s="20" t="s">
        <v>3</v>
      </c>
      <c r="IA33" s="21"/>
    </row>
    <row r="34" spans="3:235" ht="25" customHeight="1">
      <c r="C34" s="1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2"/>
      <c r="BC34" s="13"/>
      <c r="BX34" s="12"/>
      <c r="CC34" s="13"/>
      <c r="CG34" s="1" t="s">
        <v>2</v>
      </c>
      <c r="CX34" s="12"/>
      <c r="EC34" s="13"/>
      <c r="EX34" s="12"/>
      <c r="GA34" s="2"/>
      <c r="GB34" s="2"/>
      <c r="GC34" s="20"/>
      <c r="GD34" s="19"/>
      <c r="GE34" s="18"/>
      <c r="GF34" s="18"/>
      <c r="GG34" s="17"/>
      <c r="GH34" s="11" t="s">
        <v>1</v>
      </c>
      <c r="GI34" s="10"/>
      <c r="GJ34" s="9"/>
      <c r="GK34" s="19"/>
      <c r="GL34" s="18"/>
      <c r="GM34" s="18"/>
      <c r="GN34" s="17"/>
      <c r="GO34" s="11" t="s">
        <v>1</v>
      </c>
      <c r="GP34" s="10"/>
      <c r="GQ34" s="9"/>
      <c r="GR34" s="19"/>
      <c r="GS34" s="18"/>
      <c r="GT34" s="18"/>
      <c r="GU34" s="17"/>
    </row>
    <row r="35" spans="3:235" ht="25" customHeight="1">
      <c r="C35" s="1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2"/>
      <c r="BC35" s="13"/>
      <c r="BX35" s="12"/>
      <c r="CC35" s="13"/>
      <c r="CD35" s="16"/>
      <c r="CE35" s="15"/>
      <c r="CF35" s="14"/>
      <c r="CG35" s="1" t="s">
        <v>0</v>
      </c>
      <c r="CX35" s="12"/>
      <c r="EC35" s="13"/>
      <c r="EX35" s="12"/>
      <c r="GA35" s="2"/>
      <c r="GB35" s="2"/>
      <c r="GD35" s="8"/>
      <c r="GE35" s="7"/>
      <c r="GF35" s="7"/>
      <c r="GG35" s="6"/>
      <c r="GH35" s="11"/>
      <c r="GI35" s="10"/>
      <c r="GJ35" s="9"/>
      <c r="GK35" s="8"/>
      <c r="GL35" s="7"/>
      <c r="GM35" s="7"/>
      <c r="GN35" s="6"/>
      <c r="GO35" s="11"/>
      <c r="GP35" s="10"/>
      <c r="GQ35" s="9"/>
      <c r="GR35" s="8"/>
      <c r="GS35" s="7"/>
      <c r="GT35" s="7"/>
      <c r="GU35" s="6"/>
    </row>
    <row r="36" spans="3:235" ht="25" customHeight="1"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3"/>
      <c r="BC36" s="5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3"/>
      <c r="CC36" s="5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3"/>
      <c r="EC36" s="5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3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</row>
  </sheetData>
  <mergeCells count="225">
    <mergeCell ref="FG27:FH27"/>
    <mergeCell ref="FC24:FF26"/>
    <mergeCell ref="FG24:FH24"/>
    <mergeCell ref="E26:G26"/>
    <mergeCell ref="J24:L24"/>
    <mergeCell ref="BQ24:BV24"/>
    <mergeCell ref="A29:C29"/>
    <mergeCell ref="AM29:AQ29"/>
    <mergeCell ref="M30:R30"/>
    <mergeCell ref="AM30:AQ30"/>
    <mergeCell ref="CD30:CF30"/>
    <mergeCell ref="DF30:DN30"/>
    <mergeCell ref="AA25:AC25"/>
    <mergeCell ref="FG25:FH25"/>
    <mergeCell ref="FI25:FJ25"/>
    <mergeCell ref="FK25:FL25"/>
    <mergeCell ref="DA26:DC26"/>
    <mergeCell ref="EJ26:EX27"/>
    <mergeCell ref="FG26:FH26"/>
    <mergeCell ref="FI26:FJ26"/>
    <mergeCell ref="FK26:FL26"/>
    <mergeCell ref="CD27:CF27"/>
    <mergeCell ref="AG32:AW33"/>
    <mergeCell ref="CD32:CF32"/>
    <mergeCell ref="CD35:CF35"/>
    <mergeCell ref="FI27:FJ27"/>
    <mergeCell ref="FK27:FL27"/>
    <mergeCell ref="FM24:FX26"/>
    <mergeCell ref="DE27:DI27"/>
    <mergeCell ref="FC27:FF27"/>
    <mergeCell ref="FM27:FX27"/>
    <mergeCell ref="FI24:FJ24"/>
    <mergeCell ref="FI22:FJ22"/>
    <mergeCell ref="FK22:FL22"/>
    <mergeCell ref="E23:G23"/>
    <mergeCell ref="AO23:AU23"/>
    <mergeCell ref="EJ23:EX24"/>
    <mergeCell ref="FG23:FH23"/>
    <mergeCell ref="FI23:FJ23"/>
    <mergeCell ref="FK23:FL23"/>
    <mergeCell ref="FK24:FL24"/>
    <mergeCell ref="E20:G20"/>
    <mergeCell ref="AK20:AO20"/>
    <mergeCell ref="FC20:FF20"/>
    <mergeCell ref="FG20:FH20"/>
    <mergeCell ref="FI20:FJ20"/>
    <mergeCell ref="FK20:FL20"/>
    <mergeCell ref="FM20:FX20"/>
    <mergeCell ref="A21:C21"/>
    <mergeCell ref="J21:L21"/>
    <mergeCell ref="AK21:AO21"/>
    <mergeCell ref="FC21:FF23"/>
    <mergeCell ref="FG21:FH21"/>
    <mergeCell ref="FI21:FJ21"/>
    <mergeCell ref="FK21:FL21"/>
    <mergeCell ref="FM21:FX23"/>
    <mergeCell ref="FG22:FH22"/>
    <mergeCell ref="CE19:CH19"/>
    <mergeCell ref="FC19:FF19"/>
    <mergeCell ref="FG19:FH19"/>
    <mergeCell ref="FI19:FJ19"/>
    <mergeCell ref="FK19:FL19"/>
    <mergeCell ref="A17:C17"/>
    <mergeCell ref="AK17:AO17"/>
    <mergeCell ref="CE17:CH17"/>
    <mergeCell ref="EJ17:EX18"/>
    <mergeCell ref="E18:G18"/>
    <mergeCell ref="E12:G12"/>
    <mergeCell ref="AS12:AT12"/>
    <mergeCell ref="FP12:FT12"/>
    <mergeCell ref="CO13:CP13"/>
    <mergeCell ref="DN13:DS13"/>
    <mergeCell ref="FA13:FC13"/>
    <mergeCell ref="AO14:AR14"/>
    <mergeCell ref="CK14:CN15"/>
    <mergeCell ref="CO14:CP15"/>
    <mergeCell ref="E15:G15"/>
    <mergeCell ref="J15:L15"/>
    <mergeCell ref="FV15:FX15"/>
    <mergeCell ref="BE9:BF9"/>
    <mergeCell ref="CO9:CP9"/>
    <mergeCell ref="AK10:AO10"/>
    <mergeCell ref="CK10:CN11"/>
    <mergeCell ref="CO10:CP11"/>
    <mergeCell ref="AK11:AO11"/>
    <mergeCell ref="BE11:BF11"/>
    <mergeCell ref="E8:G8"/>
    <mergeCell ref="EK8:EO8"/>
    <mergeCell ref="ER8:EV8"/>
    <mergeCell ref="AK5:AO5"/>
    <mergeCell ref="CE5:CH5"/>
    <mergeCell ref="A6:C6"/>
    <mergeCell ref="AJ6:AM6"/>
    <mergeCell ref="BA6:BC6"/>
    <mergeCell ref="EK6:EO6"/>
    <mergeCell ref="ER6:EV6"/>
    <mergeCell ref="AK4:AO4"/>
    <mergeCell ref="GA2:GC2"/>
    <mergeCell ref="HA2:HC2"/>
    <mergeCell ref="GE3:GH3"/>
    <mergeCell ref="E7:G7"/>
    <mergeCell ref="BE7:BF7"/>
    <mergeCell ref="DE7:DI7"/>
    <mergeCell ref="FE6:FH6"/>
    <mergeCell ref="BO3:BW4"/>
    <mergeCell ref="CE3:CH3"/>
    <mergeCell ref="DE3:DI3"/>
    <mergeCell ref="FE3:FH3"/>
    <mergeCell ref="C2:F4"/>
    <mergeCell ref="AA2:AC2"/>
    <mergeCell ref="BA2:BC2"/>
    <mergeCell ref="CA2:CC2"/>
    <mergeCell ref="DA2:DC2"/>
    <mergeCell ref="EA2:EC2"/>
    <mergeCell ref="HB19:HD19"/>
    <mergeCell ref="HE19:HG19"/>
    <mergeCell ref="HH19:HJ19"/>
    <mergeCell ref="HK19:HM19"/>
    <mergeCell ref="FA2:FC2"/>
    <mergeCell ref="IC2:IX3"/>
    <mergeCell ref="FG18:FL18"/>
    <mergeCell ref="FM18:FX19"/>
    <mergeCell ref="FC18:FF18"/>
    <mergeCell ref="HJ5:HL5"/>
    <mergeCell ref="GE6:GH6"/>
    <mergeCell ref="GP12:GT12"/>
    <mergeCell ref="HJ12:HM12"/>
    <mergeCell ref="GA14:GC14"/>
    <mergeCell ref="GV16:GX16"/>
    <mergeCell ref="HK20:HM21"/>
    <mergeCell ref="HN20:HP21"/>
    <mergeCell ref="GC21:GF21"/>
    <mergeCell ref="GG21:GH21"/>
    <mergeCell ref="GI21:GJ21"/>
    <mergeCell ref="GK21:GL21"/>
    <mergeCell ref="HE22:HG22"/>
    <mergeCell ref="HH22:HJ22"/>
    <mergeCell ref="HK22:HM22"/>
    <mergeCell ref="HN19:HP19"/>
    <mergeCell ref="GC20:GF20"/>
    <mergeCell ref="GG20:GL20"/>
    <mergeCell ref="GM20:GX21"/>
    <mergeCell ref="HB20:HD21"/>
    <mergeCell ref="HE20:HG21"/>
    <mergeCell ref="HH20:HJ21"/>
    <mergeCell ref="GC22:GF22"/>
    <mergeCell ref="GG22:GH22"/>
    <mergeCell ref="GI22:GJ22"/>
    <mergeCell ref="GK22:GL22"/>
    <mergeCell ref="GM22:GX22"/>
    <mergeCell ref="HB22:HD22"/>
    <mergeCell ref="HK24:HM24"/>
    <mergeCell ref="HN24:HP24"/>
    <mergeCell ref="GG25:GH25"/>
    <mergeCell ref="GI25:GJ25"/>
    <mergeCell ref="GK25:GL25"/>
    <mergeCell ref="HB25:HD25"/>
    <mergeCell ref="HE25:HG25"/>
    <mergeCell ref="HE23:HG23"/>
    <mergeCell ref="HH23:HJ23"/>
    <mergeCell ref="HK23:HM23"/>
    <mergeCell ref="HN23:HP23"/>
    <mergeCell ref="GG24:GH24"/>
    <mergeCell ref="GI24:GJ24"/>
    <mergeCell ref="GK24:GL24"/>
    <mergeCell ref="HB24:HD24"/>
    <mergeCell ref="HE24:HG24"/>
    <mergeCell ref="HH24:HJ24"/>
    <mergeCell ref="GG28:GH28"/>
    <mergeCell ref="GI28:GJ28"/>
    <mergeCell ref="GK28:GL28"/>
    <mergeCell ref="HN22:HP22"/>
    <mergeCell ref="GC23:GF25"/>
    <mergeCell ref="GG23:GH23"/>
    <mergeCell ref="GI23:GJ23"/>
    <mergeCell ref="GK23:GL23"/>
    <mergeCell ref="GM23:GX25"/>
    <mergeCell ref="HB23:HD23"/>
    <mergeCell ref="GG27:GH27"/>
    <mergeCell ref="GI27:GJ27"/>
    <mergeCell ref="GK27:GL27"/>
    <mergeCell ref="HB27:HD27"/>
    <mergeCell ref="HE27:HG27"/>
    <mergeCell ref="HH27:HJ27"/>
    <mergeCell ref="GM26:GX28"/>
    <mergeCell ref="HB26:HD26"/>
    <mergeCell ref="HE26:HG26"/>
    <mergeCell ref="HH26:HJ26"/>
    <mergeCell ref="HK26:HM26"/>
    <mergeCell ref="HN26:HP26"/>
    <mergeCell ref="HK27:HM27"/>
    <mergeCell ref="HN27:HP27"/>
    <mergeCell ref="HE29:HG29"/>
    <mergeCell ref="HH29:HJ29"/>
    <mergeCell ref="HK29:HM29"/>
    <mergeCell ref="HN29:HP29"/>
    <mergeCell ref="HH25:HJ25"/>
    <mergeCell ref="HK25:HM25"/>
    <mergeCell ref="HN25:HP25"/>
    <mergeCell ref="HE28:HG28"/>
    <mergeCell ref="HH28:HJ28"/>
    <mergeCell ref="HK28:HM28"/>
    <mergeCell ref="HN28:HP28"/>
    <mergeCell ref="GC29:GF29"/>
    <mergeCell ref="GG29:GH29"/>
    <mergeCell ref="GI29:GJ29"/>
    <mergeCell ref="GK29:GL29"/>
    <mergeCell ref="GM29:GX29"/>
    <mergeCell ref="HB29:HD29"/>
    <mergeCell ref="GD34:GG35"/>
    <mergeCell ref="GH34:GJ35"/>
    <mergeCell ref="GK34:GN35"/>
    <mergeCell ref="GO34:GQ35"/>
    <mergeCell ref="GR34:GU35"/>
    <mergeCell ref="HB28:HD28"/>
    <mergeCell ref="GC26:GF28"/>
    <mergeCell ref="GG26:GH26"/>
    <mergeCell ref="GI26:GJ26"/>
    <mergeCell ref="GK26:GL26"/>
    <mergeCell ref="HB30:HD30"/>
    <mergeCell ref="HE30:HG30"/>
    <mergeCell ref="HH30:HJ30"/>
    <mergeCell ref="HK30:HM30"/>
    <mergeCell ref="HN30:HP30"/>
    <mergeCell ref="GA33:GC33"/>
  </mergeCells>
  <pageMargins left="0.7" right="0.86624999999999996" top="0.75" bottom="0.75" header="0.3" footer="0.3"/>
  <pageSetup paperSize="9" scale="77" orientation="portrait" r:id="rId1"/>
  <headerFooter>
    <oddHeader>&amp;C&amp;"メイリオ,Regular"&amp;16&amp;A&amp;R&amp;"メイリオ,Regular"（担当：YOH）</oddHeader>
    <oddFooter>&amp;C&amp;"メイリオ,レギュラー"&amp;14&amp;P / &amp;N</oddFooter>
  </headerFooter>
  <colBreaks count="9" manualBreakCount="9">
    <brk id="26" max="36" man="1"/>
    <brk id="52" max="36" man="1"/>
    <brk id="78" max="36" man="1"/>
    <brk id="104" max="36" man="1"/>
    <brk id="130" max="36" man="1"/>
    <brk id="156" max="36" man="1"/>
    <brk id="182" max="36" man="1"/>
    <brk id="208" max="36" man="1"/>
    <brk id="234" max="3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04_確率と確率変数</vt:lpstr>
      <vt:lpstr>'04_確率と確率変数'!Print_Area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河野　洋</dc:creator>
  <cp:lastModifiedBy>河野　洋</cp:lastModifiedBy>
  <dcterms:created xsi:type="dcterms:W3CDTF">2024-10-29T08:48:49Z</dcterms:created>
  <dcterms:modified xsi:type="dcterms:W3CDTF">2024-10-29T08:49:25Z</dcterms:modified>
</cp:coreProperties>
</file>