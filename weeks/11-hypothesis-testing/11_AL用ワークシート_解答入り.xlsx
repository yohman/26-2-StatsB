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08E1AD3D-B496-458A-B87A-46993C7B0FEF}" xr6:coauthVersionLast="47" xr6:coauthVersionMax="47" xr10:uidLastSave="{00000000-0000-0000-0000-000000000000}"/>
  <bookViews>
    <workbookView xWindow="-110" yWindow="-110" windowWidth="19420" windowHeight="10420" activeTab="3" xr2:uid="{B7CCE616-F8D7-4367-B120-E4F2F621711A}"/>
  </bookViews>
  <sheets>
    <sheet name="ポテトの重量_解答" sheetId="2" r:id="rId1"/>
    <sheet name="ポテトの重量" sheetId="1" r:id="rId2"/>
    <sheet name="満足度の比較_解答" sheetId="4" r:id="rId3"/>
    <sheet name="満足度の比較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4" l="1"/>
  <c r="I11" i="4"/>
  <c r="I10" i="4"/>
  <c r="I14" i="4" s="1"/>
  <c r="I9" i="4"/>
  <c r="I13" i="4" s="1"/>
  <c r="I15" i="4" s="1"/>
  <c r="I7" i="4"/>
  <c r="G11" i="2"/>
  <c r="G14" i="2" s="1"/>
  <c r="G9" i="2"/>
  <c r="G13" i="2" s="1"/>
  <c r="G15" i="2" s="1"/>
  <c r="G7" i="2"/>
</calcChain>
</file>

<file path=xl/sharedStrings.xml><?xml version="1.0" encoding="utf-8"?>
<sst xmlns="http://schemas.openxmlformats.org/spreadsheetml/2006/main" count="94" uniqueCount="42">
  <si>
    <t>重量</t>
    <rPh sb="0" eb="2">
      <t>ジュウリョウ</t>
    </rPh>
    <phoneticPr fontId="2"/>
  </si>
  <si>
    <t>Q: ポテトの重量150g表記は本当か？</t>
    <rPh sb="7" eb="9">
      <t>ジュウリョウ</t>
    </rPh>
    <rPh sb="13" eb="15">
      <t>ヒョウキ</t>
    </rPh>
    <rPh sb="16" eb="18">
      <t>ホントウ</t>
    </rPh>
    <phoneticPr fontId="2"/>
  </si>
  <si>
    <t>帰無仮説</t>
    <rPh sb="0" eb="4">
      <t>キムカセツ</t>
    </rPh>
    <phoneticPr fontId="2"/>
  </si>
  <si>
    <t>μ=150</t>
    <phoneticPr fontId="2"/>
  </si>
  <si>
    <t>対立仮説</t>
    <rPh sb="0" eb="2">
      <t>タイリツ</t>
    </rPh>
    <rPh sb="2" eb="4">
      <t>カセツ</t>
    </rPh>
    <phoneticPr fontId="2"/>
  </si>
  <si>
    <t>μ≠150</t>
    <phoneticPr fontId="2"/>
  </si>
  <si>
    <t>回数</t>
    <rPh sb="0" eb="2">
      <t>カイスウ</t>
    </rPh>
    <phoneticPr fontId="2"/>
  </si>
  <si>
    <t>i</t>
    <phoneticPr fontId="2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</si>
  <si>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2"/>
  </si>
  <si>
    <t>臨界値</t>
    <rPh sb="0" eb="3">
      <t>リンカイチ</t>
    </rPh>
    <phoneticPr fontId="2"/>
  </si>
  <si>
    <t>仮説</t>
    <rPh sb="0" eb="2">
      <t>カセツ</t>
    </rPh>
    <phoneticPr fontId="2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</si>
  <si>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0.025</t>
    </r>
    <r>
      <rPr>
        <sz val="11"/>
        <color theme="1"/>
        <rFont val="游ゴシック"/>
        <family val="2"/>
        <charset val="128"/>
        <scheme val="minor"/>
      </rPr>
      <t>(9)</t>
    </r>
    <phoneticPr fontId="2"/>
  </si>
  <si>
    <t>t値の計算</t>
    <rPh sb="1" eb="2">
      <t>アタイ</t>
    </rPh>
    <rPh sb="3" eb="5">
      <t>ケイサン</t>
    </rPh>
    <phoneticPr fontId="2"/>
  </si>
  <si>
    <t>標本平均</t>
    <rPh sb="0" eb="4">
      <t>ヒョウホンヘイキン</t>
    </rPh>
    <phoneticPr fontId="2"/>
  </si>
  <si>
    <t>母平均</t>
    <rPh sb="0" eb="3">
      <t>ボヘイキン</t>
    </rPh>
    <phoneticPr fontId="2"/>
  </si>
  <si>
    <t>標本不偏分散</t>
    <rPh sb="0" eb="4">
      <t>ヒョウホンフヘン</t>
    </rPh>
    <rPh sb="4" eb="6">
      <t>ブンサン</t>
    </rPh>
    <phoneticPr fontId="2"/>
  </si>
  <si>
    <t>標本数</t>
    <rPh sb="0" eb="3">
      <t>ヒョウホンスウ</t>
    </rPh>
    <phoneticPr fontId="2"/>
  </si>
  <si>
    <t>分母の部分</t>
    <rPh sb="0" eb="2">
      <t>ブンボ</t>
    </rPh>
    <rPh sb="3" eb="5">
      <t>ブブン</t>
    </rPh>
    <phoneticPr fontId="2"/>
  </si>
  <si>
    <t>分子の部分</t>
    <rPh sb="0" eb="2">
      <t>ブンシ</t>
    </rPh>
    <rPh sb="3" eb="5">
      <t>ブブン</t>
    </rPh>
    <phoneticPr fontId="2"/>
  </si>
  <si>
    <t>t値</t>
    <rPh sb="1" eb="2">
      <t>アタイ</t>
    </rPh>
    <phoneticPr fontId="2"/>
  </si>
  <si>
    <t>μ=</t>
    <phoneticPr fontId="2"/>
  </si>
  <si>
    <t>μ≠</t>
    <phoneticPr fontId="2"/>
  </si>
  <si>
    <t>Q: 自社とライバル社の2社の満足度には差があるか</t>
    <rPh sb="3" eb="5">
      <t>ジシャ</t>
    </rPh>
    <rPh sb="10" eb="11">
      <t>シャ</t>
    </rPh>
    <rPh sb="13" eb="14">
      <t>シャ</t>
    </rPh>
    <rPh sb="15" eb="18">
      <t>マンゾクド</t>
    </rPh>
    <rPh sb="20" eb="21">
      <t>サ</t>
    </rPh>
    <phoneticPr fontId="2"/>
  </si>
  <si>
    <t>企業</t>
    <rPh sb="0" eb="2">
      <t>キギョウ</t>
    </rPh>
    <phoneticPr fontId="2"/>
  </si>
  <si>
    <t>全体</t>
    <rPh sb="0" eb="2">
      <t>ゼンタイ</t>
    </rPh>
    <phoneticPr fontId="2"/>
  </si>
  <si>
    <t>1) 自社</t>
    <rPh sb="3" eb="5">
      <t>ジシャ</t>
    </rPh>
    <phoneticPr fontId="2"/>
  </si>
  <si>
    <t>2) ライバル社</t>
    <rPh sb="7" eb="8">
      <t>シャ</t>
    </rPh>
    <phoneticPr fontId="2"/>
  </si>
  <si>
    <t>満足の人数</t>
    <rPh sb="0" eb="2">
      <t>マンゾク</t>
    </rPh>
    <rPh sb="3" eb="5">
      <t>ニンズウ</t>
    </rPh>
    <phoneticPr fontId="2"/>
  </si>
  <si>
    <t>標本比率</t>
    <rPh sb="0" eb="4">
      <t>ヒョウホンヒリツ</t>
    </rPh>
    <phoneticPr fontId="2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</si>
  <si>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2"/>
  </si>
  <si>
    <r>
      <t>n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2"/>
  </si>
  <si>
    <t>z=</t>
    <phoneticPr fontId="2"/>
  </si>
  <si>
    <t>z値の計算</t>
    <rPh sb="1" eb="2">
      <t>アタイ</t>
    </rPh>
    <rPh sb="3" eb="5">
      <t>ケイサン</t>
    </rPh>
    <phoneticPr fontId="2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</si>
  <si>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-p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phoneticPr fontId="2"/>
  </si>
  <si>
    <t>p</t>
    <phoneticPr fontId="2"/>
  </si>
  <si>
    <t>(1-p)</t>
    <phoneticPr fontId="2"/>
  </si>
  <si>
    <r>
      <t>(1/n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)+(1/n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)</t>
    </r>
    <phoneticPr fontId="2"/>
  </si>
  <si>
    <t>z値</t>
    <rPh sb="1" eb="2">
      <t>アタイ</t>
    </rPh>
    <phoneticPr fontId="2"/>
  </si>
  <si>
    <r>
      <t>π</t>
    </r>
    <r>
      <rPr>
        <vertAlign val="subscript"/>
        <sz val="11"/>
        <color rgb="FFFF0000"/>
        <rFont val="游ゴシック"/>
        <family val="3"/>
        <charset val="128"/>
        <scheme val="minor"/>
      </rPr>
      <t>2</t>
    </r>
    <r>
      <rPr>
        <sz val="11"/>
        <color rgb="FFFF0000"/>
        <rFont val="游ゴシック"/>
        <family val="3"/>
        <charset val="128"/>
        <scheme val="minor"/>
      </rPr>
      <t>ーπ</t>
    </r>
    <r>
      <rPr>
        <vertAlign val="subscript"/>
        <sz val="11"/>
        <color rgb="FFFF0000"/>
        <rFont val="游ゴシック"/>
        <family val="3"/>
        <charset val="128"/>
        <scheme val="minor"/>
      </rPr>
      <t>1</t>
    </r>
    <r>
      <rPr>
        <sz val="11"/>
        <color rgb="FFFF0000"/>
        <rFont val="游ゴシック"/>
        <family val="3"/>
        <charset val="128"/>
        <scheme val="minor"/>
      </rPr>
      <t>＝0</t>
    </r>
    <phoneticPr fontId="2"/>
  </si>
  <si>
    <r>
      <t>π</t>
    </r>
    <r>
      <rPr>
        <vertAlign val="subscript"/>
        <sz val="11"/>
        <color rgb="FFFF0000"/>
        <rFont val="游ゴシック"/>
        <family val="3"/>
        <charset val="128"/>
        <scheme val="minor"/>
      </rPr>
      <t>2</t>
    </r>
    <r>
      <rPr>
        <sz val="11"/>
        <color rgb="FFFF0000"/>
        <rFont val="游ゴシック"/>
        <family val="3"/>
        <charset val="128"/>
        <scheme val="minor"/>
      </rPr>
      <t>ーπ</t>
    </r>
    <r>
      <rPr>
        <vertAlign val="subscript"/>
        <sz val="11"/>
        <color rgb="FFFF0000"/>
        <rFont val="游ゴシック"/>
        <family val="3"/>
        <charset val="128"/>
        <scheme val="minor"/>
      </rPr>
      <t>1</t>
    </r>
    <r>
      <rPr>
        <sz val="11"/>
        <color rgb="FFFF0000"/>
        <rFont val="游ゴシック"/>
        <family val="3"/>
        <charset val="128"/>
        <scheme val="minor"/>
      </rPr>
      <t>≠0</t>
    </r>
    <phoneticPr fontId="2"/>
  </si>
  <si>
    <r>
      <t>π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ーπ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＝</t>
    </r>
    <phoneticPr fontId="2"/>
  </si>
  <si>
    <r>
      <t>π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ーπ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≠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</si>
</sst>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vertAlign val="subscript"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dotted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right" vertical="center"/>
    </xf>
    <xf numFmtId="0" fontId="0" fillId="0" borderId="26" xfId="0" applyBorder="1">
      <alignment vertical="center"/>
    </xf>
    <xf numFmtId="0" fontId="1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2" xfId="0" applyFont="1" applyBorder="1">
      <alignment vertical="center"/>
    </xf>
    <xf numFmtId="0" fontId="0" fillId="0" borderId="0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5" fillId="0" borderId="9" xfId="0" applyFont="1" applyBorder="1">
      <alignment vertical="center"/>
    </xf>
    <xf numFmtId="0" fontId="5" fillId="0" borderId="5" xfId="0" applyFont="1" applyBorder="1">
      <alignment vertical="center"/>
    </xf>
    <xf numFmtId="0" fontId="6" fillId="0" borderId="27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1" fillId="0" borderId="2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0CF1-6F7E-4147-AF4C-C48964B8C9DB}">
  <dimension ref="B2:G16"/>
  <sheetViews>
    <sheetView workbookViewId="0"/>
  </sheetViews>
  <sheetFormatPr defaultRowHeight="18" x14ac:dyDescent="0.55000000000000004"/>
  <cols>
    <col min="6" max="6" width="12.33203125" style="14" bestFit="1" customWidth="1"/>
  </cols>
  <sheetData>
    <row r="2" spans="2:7" x14ac:dyDescent="0.55000000000000004">
      <c r="B2" t="s">
        <v>1</v>
      </c>
    </row>
    <row r="3" spans="2:7" ht="18.5" thickBot="1" x14ac:dyDescent="0.6"/>
    <row r="4" spans="2:7" ht="18.5" thickTop="1" x14ac:dyDescent="0.55000000000000004">
      <c r="B4" s="9" t="s">
        <v>6</v>
      </c>
      <c r="C4" s="10" t="s">
        <v>0</v>
      </c>
      <c r="E4" t="s">
        <v>10</v>
      </c>
      <c r="F4" s="15" t="s">
        <v>2</v>
      </c>
      <c r="G4" s="28" t="s">
        <v>3</v>
      </c>
    </row>
    <row r="5" spans="2:7" ht="20.5" thickBot="1" x14ac:dyDescent="0.6">
      <c r="B5" s="11" t="s">
        <v>7</v>
      </c>
      <c r="C5" s="12" t="s">
        <v>8</v>
      </c>
      <c r="F5" s="16" t="s">
        <v>4</v>
      </c>
      <c r="G5" s="29" t="s">
        <v>5</v>
      </c>
    </row>
    <row r="6" spans="2:7" ht="19" thickTop="1" thickBot="1" x14ac:dyDescent="0.6">
      <c r="B6" s="7">
        <v>1</v>
      </c>
      <c r="C6" s="8">
        <v>140</v>
      </c>
    </row>
    <row r="7" spans="2:7" ht="21" thickTop="1" thickBot="1" x14ac:dyDescent="0.6">
      <c r="B7" s="3">
        <v>2</v>
      </c>
      <c r="C7" s="4">
        <v>145</v>
      </c>
      <c r="E7" t="s">
        <v>9</v>
      </c>
      <c r="F7" s="17" t="s">
        <v>11</v>
      </c>
      <c r="G7" s="30">
        <f>ABS(_xlfn.T.INV(0.025,9))</f>
        <v>2.2621571627982053</v>
      </c>
    </row>
    <row r="8" spans="2:7" ht="19" thickTop="1" thickBot="1" x14ac:dyDescent="0.6">
      <c r="B8" s="3">
        <v>3</v>
      </c>
      <c r="C8" s="4">
        <v>146</v>
      </c>
    </row>
    <row r="9" spans="2:7" ht="18.5" thickTop="1" x14ac:dyDescent="0.55000000000000004">
      <c r="B9" s="3">
        <v>4</v>
      </c>
      <c r="C9" s="4">
        <v>134</v>
      </c>
      <c r="E9" t="s">
        <v>12</v>
      </c>
      <c r="F9" s="15" t="s">
        <v>13</v>
      </c>
      <c r="G9" s="28">
        <f>AVERAGE(C6:C15)</f>
        <v>142.4</v>
      </c>
    </row>
    <row r="10" spans="2:7" x14ac:dyDescent="0.55000000000000004">
      <c r="B10" s="3">
        <v>5</v>
      </c>
      <c r="C10" s="4">
        <v>144</v>
      </c>
      <c r="F10" s="18" t="s">
        <v>14</v>
      </c>
      <c r="G10" s="19">
        <v>150</v>
      </c>
    </row>
    <row r="11" spans="2:7" x14ac:dyDescent="0.55000000000000004">
      <c r="B11" s="3">
        <v>6</v>
      </c>
      <c r="C11" s="4">
        <v>156</v>
      </c>
      <c r="F11" s="18" t="s">
        <v>15</v>
      </c>
      <c r="G11" s="31">
        <f>_xlfn.VAR.S(C6:C15)</f>
        <v>34.711111111111123</v>
      </c>
    </row>
    <row r="12" spans="2:7" ht="18.5" thickBot="1" x14ac:dyDescent="0.6">
      <c r="B12" s="3">
        <v>7</v>
      </c>
      <c r="C12" s="4">
        <v>140</v>
      </c>
      <c r="F12" s="20" t="s">
        <v>16</v>
      </c>
      <c r="G12" s="21">
        <v>10</v>
      </c>
    </row>
    <row r="13" spans="2:7" ht="18.5" thickTop="1" x14ac:dyDescent="0.55000000000000004">
      <c r="B13" s="3">
        <v>8</v>
      </c>
      <c r="C13" s="4">
        <v>140</v>
      </c>
      <c r="F13" s="24" t="s">
        <v>18</v>
      </c>
      <c r="G13" s="32">
        <f>G9-G10</f>
        <v>-7.5999999999999943</v>
      </c>
    </row>
    <row r="14" spans="2:7" ht="18.5" thickBot="1" x14ac:dyDescent="0.6">
      <c r="B14" s="3">
        <v>9</v>
      </c>
      <c r="C14" s="4">
        <v>139</v>
      </c>
      <c r="F14" s="26" t="s">
        <v>17</v>
      </c>
      <c r="G14" s="33">
        <f>SQRT(G11/G12)</f>
        <v>1.8630918149976163</v>
      </c>
    </row>
    <row r="15" spans="2:7" ht="19" thickTop="1" thickBot="1" x14ac:dyDescent="0.6">
      <c r="B15" s="5">
        <v>10</v>
      </c>
      <c r="C15" s="6">
        <v>140</v>
      </c>
      <c r="F15" s="22" t="s">
        <v>19</v>
      </c>
      <c r="G15" s="34">
        <f>G13/G14</f>
        <v>-4.0792407216977216</v>
      </c>
    </row>
    <row r="16" spans="2:7" ht="18.5" thickTop="1" x14ac:dyDescent="0.55000000000000004"/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635F-2020-49E8-9B00-74B4A92BBA6D}">
  <dimension ref="B2:G16"/>
  <sheetViews>
    <sheetView workbookViewId="0"/>
  </sheetViews>
  <sheetFormatPr defaultRowHeight="18" x14ac:dyDescent="0.55000000000000004"/>
  <cols>
    <col min="6" max="6" width="12.33203125" style="14" bestFit="1" customWidth="1"/>
  </cols>
  <sheetData>
    <row r="2" spans="2:7" x14ac:dyDescent="0.55000000000000004">
      <c r="B2" t="s">
        <v>1</v>
      </c>
    </row>
    <row r="3" spans="2:7" ht="18.5" thickBot="1" x14ac:dyDescent="0.6"/>
    <row r="4" spans="2:7" ht="18.5" thickTop="1" x14ac:dyDescent="0.55000000000000004">
      <c r="B4" s="9" t="s">
        <v>6</v>
      </c>
      <c r="C4" s="10" t="s">
        <v>0</v>
      </c>
      <c r="E4" t="s">
        <v>10</v>
      </c>
      <c r="F4" s="15" t="s">
        <v>2</v>
      </c>
      <c r="G4" s="1" t="s">
        <v>20</v>
      </c>
    </row>
    <row r="5" spans="2:7" ht="20.5" thickBot="1" x14ac:dyDescent="0.6">
      <c r="B5" s="11" t="s">
        <v>7</v>
      </c>
      <c r="C5" s="12" t="s">
        <v>8</v>
      </c>
      <c r="F5" s="16" t="s">
        <v>4</v>
      </c>
      <c r="G5" s="2" t="s">
        <v>21</v>
      </c>
    </row>
    <row r="6" spans="2:7" ht="19" thickTop="1" thickBot="1" x14ac:dyDescent="0.6">
      <c r="B6" s="7">
        <v>1</v>
      </c>
      <c r="C6" s="8">
        <v>140</v>
      </c>
    </row>
    <row r="7" spans="2:7" ht="21" thickTop="1" thickBot="1" x14ac:dyDescent="0.6">
      <c r="B7" s="3">
        <v>2</v>
      </c>
      <c r="C7" s="4">
        <v>145</v>
      </c>
      <c r="E7" t="s">
        <v>9</v>
      </c>
      <c r="F7" s="17" t="s">
        <v>11</v>
      </c>
      <c r="G7" s="13"/>
    </row>
    <row r="8" spans="2:7" ht="19" thickTop="1" thickBot="1" x14ac:dyDescent="0.6">
      <c r="B8" s="3">
        <v>3</v>
      </c>
      <c r="C8" s="4">
        <v>146</v>
      </c>
    </row>
    <row r="9" spans="2:7" ht="18.5" thickTop="1" x14ac:dyDescent="0.55000000000000004">
      <c r="B9" s="3">
        <v>4</v>
      </c>
      <c r="C9" s="4">
        <v>134</v>
      </c>
      <c r="E9" t="s">
        <v>12</v>
      </c>
      <c r="F9" s="15" t="s">
        <v>13</v>
      </c>
      <c r="G9" s="1"/>
    </row>
    <row r="10" spans="2:7" x14ac:dyDescent="0.55000000000000004">
      <c r="B10" s="3">
        <v>5</v>
      </c>
      <c r="C10" s="4">
        <v>144</v>
      </c>
      <c r="F10" s="18" t="s">
        <v>14</v>
      </c>
      <c r="G10" s="19">
        <v>150</v>
      </c>
    </row>
    <row r="11" spans="2:7" x14ac:dyDescent="0.55000000000000004">
      <c r="B11" s="3">
        <v>6</v>
      </c>
      <c r="C11" s="4">
        <v>156</v>
      </c>
      <c r="F11" s="18" t="s">
        <v>15</v>
      </c>
      <c r="G11" s="19"/>
    </row>
    <row r="12" spans="2:7" ht="18.5" thickBot="1" x14ac:dyDescent="0.6">
      <c r="B12" s="3">
        <v>7</v>
      </c>
      <c r="C12" s="4">
        <v>140</v>
      </c>
      <c r="F12" s="20" t="s">
        <v>16</v>
      </c>
      <c r="G12" s="21">
        <v>10</v>
      </c>
    </row>
    <row r="13" spans="2:7" ht="18.5" thickTop="1" x14ac:dyDescent="0.55000000000000004">
      <c r="B13" s="3">
        <v>8</v>
      </c>
      <c r="C13" s="4">
        <v>140</v>
      </c>
      <c r="F13" s="24" t="s">
        <v>18</v>
      </c>
      <c r="G13" s="25"/>
    </row>
    <row r="14" spans="2:7" ht="18.5" thickBot="1" x14ac:dyDescent="0.6">
      <c r="B14" s="3">
        <v>9</v>
      </c>
      <c r="C14" s="4">
        <v>139</v>
      </c>
      <c r="F14" s="26" t="s">
        <v>17</v>
      </c>
      <c r="G14" s="27"/>
    </row>
    <row r="15" spans="2:7" ht="19" thickTop="1" thickBot="1" x14ac:dyDescent="0.6">
      <c r="B15" s="5">
        <v>10</v>
      </c>
      <c r="C15" s="6">
        <v>140</v>
      </c>
      <c r="F15" s="22" t="s">
        <v>19</v>
      </c>
      <c r="G15" s="23"/>
    </row>
    <row r="16" spans="2:7" ht="18.5" thickTop="1" x14ac:dyDescent="0.55000000000000004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D50C-3399-419A-B831-AA4DB46EAD8B}">
  <dimension ref="B2:I16"/>
  <sheetViews>
    <sheetView workbookViewId="0"/>
  </sheetViews>
  <sheetFormatPr defaultRowHeight="18" x14ac:dyDescent="0.55000000000000004"/>
  <cols>
    <col min="2" max="2" width="11.33203125" customWidth="1"/>
    <col min="8" max="8" width="13.08203125" style="14" bestFit="1" customWidth="1"/>
    <col min="9" max="9" width="14.33203125" bestFit="1" customWidth="1"/>
  </cols>
  <sheetData>
    <row r="2" spans="2:9" x14ac:dyDescent="0.55000000000000004">
      <c r="B2" t="s">
        <v>22</v>
      </c>
    </row>
    <row r="3" spans="2:9" ht="18.5" thickBot="1" x14ac:dyDescent="0.6"/>
    <row r="4" spans="2:9" ht="20.5" thickTop="1" x14ac:dyDescent="0.55000000000000004">
      <c r="B4" s="9" t="s">
        <v>23</v>
      </c>
      <c r="C4" s="40" t="s">
        <v>16</v>
      </c>
      <c r="D4" s="47" t="s">
        <v>27</v>
      </c>
      <c r="E4" s="10" t="s">
        <v>28</v>
      </c>
      <c r="G4" t="s">
        <v>10</v>
      </c>
      <c r="H4" s="15" t="s">
        <v>2</v>
      </c>
      <c r="I4" s="48" t="s">
        <v>38</v>
      </c>
    </row>
    <row r="5" spans="2:9" ht="20.5" thickBot="1" x14ac:dyDescent="0.6">
      <c r="B5" s="11" t="s">
        <v>7</v>
      </c>
      <c r="C5" s="41" t="s">
        <v>30</v>
      </c>
      <c r="D5" s="36" t="s">
        <v>8</v>
      </c>
      <c r="E5" s="12" t="s">
        <v>29</v>
      </c>
      <c r="H5" s="16" t="s">
        <v>4</v>
      </c>
      <c r="I5" s="29" t="s">
        <v>39</v>
      </c>
    </row>
    <row r="6" spans="2:9" ht="19" thickTop="1" thickBot="1" x14ac:dyDescent="0.6">
      <c r="B6" s="45" t="s">
        <v>25</v>
      </c>
      <c r="C6" s="42">
        <v>103</v>
      </c>
      <c r="D6" s="37">
        <v>89</v>
      </c>
      <c r="E6" s="8">
        <v>0.86399999999999999</v>
      </c>
    </row>
    <row r="7" spans="2:9" ht="19" thickTop="1" thickBot="1" x14ac:dyDescent="0.6">
      <c r="B7" s="46" t="s">
        <v>26</v>
      </c>
      <c r="C7" s="43">
        <v>98</v>
      </c>
      <c r="D7" s="38">
        <v>79</v>
      </c>
      <c r="E7" s="4">
        <v>0.80600000000000005</v>
      </c>
      <c r="G7" t="s">
        <v>9</v>
      </c>
      <c r="H7" s="17" t="s">
        <v>31</v>
      </c>
      <c r="I7" s="30">
        <f>_xlfn.NORM.INV(0.025,0,1)</f>
        <v>-1.9599639845400538</v>
      </c>
    </row>
    <row r="8" spans="2:9" ht="19" thickTop="1" thickBot="1" x14ac:dyDescent="0.6">
      <c r="B8" s="5" t="s">
        <v>24</v>
      </c>
      <c r="C8" s="44">
        <v>201</v>
      </c>
      <c r="D8" s="39">
        <v>168</v>
      </c>
      <c r="E8" s="6">
        <v>0.83599999999999997</v>
      </c>
    </row>
    <row r="9" spans="2:9" ht="20.5" thickTop="1" x14ac:dyDescent="0.55000000000000004">
      <c r="B9" s="35"/>
      <c r="C9" s="35"/>
      <c r="D9" s="35"/>
      <c r="E9" s="35"/>
      <c r="G9" t="s">
        <v>32</v>
      </c>
      <c r="H9" s="15" t="s">
        <v>33</v>
      </c>
      <c r="I9" s="28">
        <f>E7-E6</f>
        <v>-5.799999999999994E-2</v>
      </c>
    </row>
    <row r="10" spans="2:9" x14ac:dyDescent="0.55000000000000004">
      <c r="B10" s="35"/>
      <c r="C10" s="35"/>
      <c r="D10" s="35"/>
      <c r="E10" s="35"/>
      <c r="H10" s="18" t="s">
        <v>34</v>
      </c>
      <c r="I10" s="31">
        <f>E8</f>
        <v>0.83599999999999997</v>
      </c>
    </row>
    <row r="11" spans="2:9" x14ac:dyDescent="0.55000000000000004">
      <c r="B11" s="35"/>
      <c r="C11" s="35"/>
      <c r="D11" s="35"/>
      <c r="E11" s="35"/>
      <c r="H11" s="18" t="s">
        <v>35</v>
      </c>
      <c r="I11" s="31">
        <f>1-E8</f>
        <v>0.16400000000000003</v>
      </c>
    </row>
    <row r="12" spans="2:9" ht="20.5" thickBot="1" x14ac:dyDescent="0.6">
      <c r="B12" s="35"/>
      <c r="C12" s="35"/>
      <c r="D12" s="35"/>
      <c r="E12" s="35"/>
      <c r="H12" s="20" t="s">
        <v>36</v>
      </c>
      <c r="I12" s="49">
        <f>(1/C6)+(1/C7)</f>
        <v>1.9912819496730731E-2</v>
      </c>
    </row>
    <row r="13" spans="2:9" ht="18.5" thickTop="1" x14ac:dyDescent="0.55000000000000004">
      <c r="B13" s="35"/>
      <c r="C13" s="35"/>
      <c r="D13" s="35"/>
      <c r="E13" s="35"/>
      <c r="H13" s="24" t="s">
        <v>18</v>
      </c>
      <c r="I13" s="32">
        <f>I9</f>
        <v>-5.799999999999994E-2</v>
      </c>
    </row>
    <row r="14" spans="2:9" ht="18.5" thickBot="1" x14ac:dyDescent="0.6">
      <c r="B14" s="35"/>
      <c r="C14" s="35"/>
      <c r="D14" s="35"/>
      <c r="E14" s="35"/>
      <c r="H14" s="26" t="s">
        <v>17</v>
      </c>
      <c r="I14" s="33">
        <f>SQRT(I10*I11*I12)</f>
        <v>5.2250619176042026E-2</v>
      </c>
    </row>
    <row r="15" spans="2:9" ht="19" thickTop="1" thickBot="1" x14ac:dyDescent="0.6">
      <c r="B15" s="35"/>
      <c r="C15" s="35"/>
      <c r="D15" s="35"/>
      <c r="E15" s="35"/>
      <c r="H15" s="22" t="s">
        <v>37</v>
      </c>
      <c r="I15" s="34">
        <f>I13/I14</f>
        <v>-1.1100346926911466</v>
      </c>
    </row>
    <row r="16" spans="2:9" ht="18.5" thickTop="1" x14ac:dyDescent="0.55000000000000004"/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98EC-0DAB-41F0-A705-36CF4411D86E}">
  <dimension ref="B2:I16"/>
  <sheetViews>
    <sheetView tabSelected="1" workbookViewId="0"/>
  </sheetViews>
  <sheetFormatPr defaultRowHeight="18" x14ac:dyDescent="0.55000000000000004"/>
  <cols>
    <col min="2" max="2" width="11.33203125" customWidth="1"/>
    <col min="8" max="8" width="13.08203125" style="14" bestFit="1" customWidth="1"/>
    <col min="9" max="9" width="14.33203125" bestFit="1" customWidth="1"/>
  </cols>
  <sheetData>
    <row r="2" spans="2:9" x14ac:dyDescent="0.55000000000000004">
      <c r="B2" t="s">
        <v>22</v>
      </c>
    </row>
    <row r="3" spans="2:9" ht="18.5" thickBot="1" x14ac:dyDescent="0.6"/>
    <row r="4" spans="2:9" ht="20.5" thickTop="1" x14ac:dyDescent="0.55000000000000004">
      <c r="B4" s="9" t="s">
        <v>23</v>
      </c>
      <c r="C4" s="40" t="s">
        <v>16</v>
      </c>
      <c r="D4" s="47" t="s">
        <v>27</v>
      </c>
      <c r="E4" s="10" t="s">
        <v>28</v>
      </c>
      <c r="G4" t="s">
        <v>10</v>
      </c>
      <c r="H4" s="15" t="s">
        <v>2</v>
      </c>
      <c r="I4" s="1" t="s">
        <v>40</v>
      </c>
    </row>
    <row r="5" spans="2:9" ht="20.5" thickBot="1" x14ac:dyDescent="0.6">
      <c r="B5" s="11" t="s">
        <v>7</v>
      </c>
      <c r="C5" s="41" t="s">
        <v>30</v>
      </c>
      <c r="D5" s="36" t="s">
        <v>8</v>
      </c>
      <c r="E5" s="12" t="s">
        <v>29</v>
      </c>
      <c r="H5" s="16" t="s">
        <v>4</v>
      </c>
      <c r="I5" s="2" t="s">
        <v>41</v>
      </c>
    </row>
    <row r="6" spans="2:9" ht="19" thickTop="1" thickBot="1" x14ac:dyDescent="0.6">
      <c r="B6" s="45" t="s">
        <v>25</v>
      </c>
      <c r="C6" s="42">
        <v>103</v>
      </c>
      <c r="D6" s="37">
        <v>89</v>
      </c>
      <c r="E6" s="8">
        <v>0.86399999999999999</v>
      </c>
    </row>
    <row r="7" spans="2:9" ht="21" thickTop="1" thickBot="1" x14ac:dyDescent="0.6">
      <c r="B7" s="46" t="s">
        <v>26</v>
      </c>
      <c r="C7" s="43">
        <v>98</v>
      </c>
      <c r="D7" s="38">
        <v>79</v>
      </c>
      <c r="E7" s="4">
        <v>0.80600000000000005</v>
      </c>
      <c r="G7" t="s">
        <v>9</v>
      </c>
      <c r="H7" s="17" t="s">
        <v>31</v>
      </c>
      <c r="I7" s="13"/>
    </row>
    <row r="8" spans="2:9" ht="19" thickTop="1" thickBot="1" x14ac:dyDescent="0.6">
      <c r="B8" s="5" t="s">
        <v>24</v>
      </c>
      <c r="C8" s="44">
        <v>201</v>
      </c>
      <c r="D8" s="39">
        <v>168</v>
      </c>
      <c r="E8" s="6">
        <v>0.83599999999999997</v>
      </c>
    </row>
    <row r="9" spans="2:9" ht="20.5" thickTop="1" x14ac:dyDescent="0.55000000000000004">
      <c r="B9" s="35"/>
      <c r="C9" s="35"/>
      <c r="D9" s="35"/>
      <c r="E9" s="35"/>
      <c r="G9" t="s">
        <v>32</v>
      </c>
      <c r="H9" s="15" t="s">
        <v>33</v>
      </c>
      <c r="I9" s="1"/>
    </row>
    <row r="10" spans="2:9" x14ac:dyDescent="0.55000000000000004">
      <c r="B10" s="35"/>
      <c r="C10" s="35"/>
      <c r="D10" s="35"/>
      <c r="E10" s="35"/>
      <c r="H10" s="18" t="s">
        <v>34</v>
      </c>
      <c r="I10" s="19"/>
    </row>
    <row r="11" spans="2:9" x14ac:dyDescent="0.55000000000000004">
      <c r="B11" s="35"/>
      <c r="C11" s="35"/>
      <c r="D11" s="35"/>
      <c r="E11" s="35"/>
      <c r="H11" s="18" t="s">
        <v>35</v>
      </c>
      <c r="I11" s="19"/>
    </row>
    <row r="12" spans="2:9" ht="20.5" thickBot="1" x14ac:dyDescent="0.6">
      <c r="B12" s="35"/>
      <c r="C12" s="35"/>
      <c r="D12" s="35"/>
      <c r="E12" s="35"/>
      <c r="H12" s="20" t="s">
        <v>36</v>
      </c>
      <c r="I12" s="21"/>
    </row>
    <row r="13" spans="2:9" ht="18.5" thickTop="1" x14ac:dyDescent="0.55000000000000004">
      <c r="B13" s="35"/>
      <c r="C13" s="35"/>
      <c r="D13" s="35"/>
      <c r="E13" s="35"/>
      <c r="H13" s="24" t="s">
        <v>18</v>
      </c>
      <c r="I13" s="25"/>
    </row>
    <row r="14" spans="2:9" ht="18.5" thickBot="1" x14ac:dyDescent="0.6">
      <c r="B14" s="35"/>
      <c r="C14" s="35"/>
      <c r="D14" s="35"/>
      <c r="E14" s="35"/>
      <c r="H14" s="26" t="s">
        <v>17</v>
      </c>
      <c r="I14" s="27"/>
    </row>
    <row r="15" spans="2:9" ht="19" thickTop="1" thickBot="1" x14ac:dyDescent="0.6">
      <c r="B15" s="35"/>
      <c r="C15" s="35"/>
      <c r="D15" s="35"/>
      <c r="E15" s="35"/>
      <c r="H15" s="22" t="s">
        <v>37</v>
      </c>
      <c r="I15" s="23"/>
    </row>
    <row r="16" spans="2:9" ht="18.5" thickTop="1" x14ac:dyDescent="0.55000000000000004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ポテトの重量_解答</vt:lpstr>
      <vt:lpstr>ポテトの重量</vt:lpstr>
      <vt:lpstr>満足度の比較_解答</vt:lpstr>
      <vt:lpstr>満足度の比較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2025-08-31T20:37:39Z</dcterms:created>
  <dcterms:modified xsi:type="dcterms:W3CDTF">2025-08-31T22:41:49Z</dcterms:modified>
</cp:coreProperties>
</file>